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Y CHUẨN 16 STYLE TEXT 3D" sheetId="1" state="visible" r:id="rId1"/>
    <sheet xmlns:r="http://schemas.openxmlformats.org/officeDocument/2006/relationships" name="KHO 21 SOUND EFFECT CHỌN LỌC" sheetId="2" state="visible" r:id="rId2"/>
    <sheet xmlns:r="http://schemas.openxmlformats.org/officeDocument/2006/relationships" name="HƯỚNG DẪN DỰNG &amp; HÒA ÂM (SOP)" sheetId="3" state="visible" r:id="rId3"/>
    <sheet xmlns:r="http://schemas.openxmlformats.org/officeDocument/2006/relationships" name="KHO 119 NHẠC NỀN PHÂN LOẠ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b val="1"/>
      <color rgb="00475569"/>
      <sz val="11"/>
    </font>
    <font>
      <name val="Calibri"/>
      <b val="1"/>
      <color rgb="000284C7"/>
      <sz val="12"/>
    </font>
    <font>
      <name val="Calibri"/>
      <b val="1"/>
      <color rgb="001E293B"/>
      <sz val="11"/>
    </font>
    <font>
      <name val="Calibri"/>
      <color rgb="00475569"/>
      <sz val="11"/>
    </font>
    <font>
      <name val="Calibri"/>
      <b val="1"/>
      <color rgb="00334155"/>
      <sz val="10"/>
    </font>
    <font>
      <name val="Calibri"/>
      <b val="1"/>
      <color rgb="000D9488"/>
      <sz val="11"/>
    </font>
    <font>
      <name val="Calibri"/>
      <b val="1"/>
      <color rgb="000284C7"/>
      <sz val="11"/>
      <u val="single"/>
    </font>
    <font>
      <name val="Calibri"/>
      <color rgb="00334155"/>
      <sz val="10"/>
    </font>
    <font>
      <name val="Calibri"/>
      <i val="1"/>
      <color rgb="00475569"/>
      <sz val="10"/>
    </font>
    <font>
      <name val="Calibri"/>
      <b val="1"/>
      <color rgb="00FFFFFF"/>
      <sz val="15"/>
    </font>
    <font>
      <name val="Calibri"/>
      <b val="1"/>
      <color rgb="001E293B"/>
      <sz val="10"/>
    </font>
    <font>
      <name val="Calibri"/>
      <color rgb="00475569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4338CA"/>
      <sz val="11"/>
    </font>
    <font>
      <name val="Calibri"/>
      <color rgb="00334155"/>
      <sz val="11"/>
    </font>
    <font>
      <name val="Calibri"/>
      <b val="1"/>
      <color rgb="000F172A"/>
      <sz val="11"/>
    </font>
    <font>
      <name val="Calibri"/>
      <color rgb="0064748B"/>
      <sz val="9"/>
    </font>
    <font>
      <name val="Calibri"/>
      <color rgb="00D97706"/>
      <sz val="9"/>
    </font>
    <font>
      <name val="Calibri"/>
      <color rgb="000284C7"/>
      <sz val="10"/>
      <u val="single"/>
    </font>
  </fonts>
  <fills count="1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E6F4EA"/>
        <bgColor rgb="00E6F4EA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FEF7E0"/>
        <bgColor rgb="00FEF7E0"/>
      </patternFill>
    </fill>
    <fill>
      <patternFill patternType="solid">
        <fgColor rgb="00E8F0FE"/>
        <bgColor rgb="00E8F0FE"/>
      </patternFill>
    </fill>
    <fill>
      <patternFill patternType="solid">
        <fgColor rgb="00FEF3D6"/>
        <bgColor rgb="00FEF3D6"/>
      </patternFill>
    </fill>
    <fill>
      <patternFill patternType="solid">
        <fgColor rgb="00FCE8E6"/>
        <bgColor rgb="00FCE8E6"/>
      </patternFill>
    </fill>
    <fill>
      <patternFill patternType="solid">
        <fgColor rgb="00F1F3F4"/>
        <bgColor rgb="00F1F3F4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 vertical="top"/>
    </xf>
    <xf numFmtId="0" fontId="19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left" vertical="center"/>
    </xf>
    <xf numFmtId="0" fontId="22" fillId="7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left" vertical="center"/>
    </xf>
    <xf numFmtId="0" fontId="20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left" vertical="center"/>
    </xf>
    <xf numFmtId="0" fontId="22" fillId="15" borderId="1" applyAlignment="1" pivotButton="0" quotePrefix="0" xfId="0">
      <alignment horizontal="left" vertical="center"/>
    </xf>
    <xf numFmtId="0" fontId="23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666875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1666875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1666875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666875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1666875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1666875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1666875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1666875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1666875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666875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1666875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666875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1666875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1666875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1666875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1666875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24" customWidth="1" min="4" max="4"/>
    <col width="15" customWidth="1" min="5" max="5"/>
    <col width="24" customWidth="1" min="6" max="6"/>
    <col width="22" customWidth="1" min="7" max="7"/>
    <col width="18" customWidth="1" min="8" max="8"/>
    <col width="32" customWidth="1" min="9" max="9"/>
    <col width="38" customWidth="1" min="10" max="10"/>
  </cols>
  <sheetData>
    <row r="1" ht="45" customHeight="1">
      <c r="A1" s="1" t="inlineStr">
        <is>
          <t>⚡ BẢNG QUY CHUẨN 16 STYLE TEXT 3D &amp; NÚT BẤM NGHE THỬ SOUND EFFECT</t>
        </is>
      </c>
    </row>
    <row r="2" ht="25" customHeight="1">
      <c r="A2" s="2" t="inlineStr">
        <is>
          <t>Bấm trực tiếp vào cột '🔊 NGHE THỬ' để phát âm thanh ngay trên máy tính | Tra cứu mã lệnh để chèn tự động vào kịch bản</t>
        </is>
      </c>
    </row>
    <row r="3" ht="32" customHeight="1">
      <c r="A3" s="3" t="inlineStr">
        <is>
          <t>STT</t>
        </is>
      </c>
      <c r="B3" s="3" t="inlineStr">
        <is>
          <t>HÌNH ẢNH MẪU</t>
        </is>
      </c>
      <c r="C3" s="3" t="inlineStr">
        <is>
          <t>MÃ LỆNH GỌI</t>
        </is>
      </c>
      <c r="D3" s="3" t="inlineStr">
        <is>
          <t>TÊN STYLE GỐC</t>
        </is>
      </c>
      <c r="E3" s="3" t="inlineStr">
        <is>
          <t>PRESET CAPCUT</t>
        </is>
      </c>
      <c r="F3" s="3" t="inlineStr">
        <is>
          <t>NHÓM CẢM XÚC</t>
        </is>
      </c>
      <c r="G3" s="3" t="inlineStr">
        <is>
          <t>SOUND EFFECT KHỚP</t>
        </is>
      </c>
      <c r="H3" s="3" t="inlineStr">
        <is>
          <t>🔊 NGHE THỬ (CLICK)</t>
        </is>
      </c>
      <c r="I3" s="3" t="inlineStr">
        <is>
          <t>LOẠI CẢNH PHÙ HỢP</t>
        </is>
      </c>
      <c r="J3" s="3" t="inlineStr">
        <is>
          <t>CÂU LỆNH MẪU</t>
        </is>
      </c>
    </row>
    <row r="4" ht="92" customHeight="1">
      <c r="A4" s="4" t="n">
        <v>1</v>
      </c>
      <c r="B4" s="5" t="n"/>
      <c r="C4" s="6" t="inlineStr">
        <is>
          <t>[XANH NEON]</t>
        </is>
      </c>
      <c r="D4" s="7" t="inlineStr">
        <is>
          <t>Xanh Mát Resort</t>
        </is>
      </c>
      <c r="E4" s="8" t="inlineStr">
        <is>
          <t>My presets1</t>
        </is>
      </c>
      <c r="F4" s="9" t="inlineStr">
        <is>
          <t>DU LỊCH &amp; NGHỈ DƯỠNG</t>
        </is>
      </c>
      <c r="G4" s="10" t="inlineStr">
        <is>
          <t>Clean Whoosh.wav</t>
        </is>
      </c>
      <c r="H4" s="11">
        <f>HYPERLINK("file:///Users/phuongpham/Downloads/TÀI NGUYÊN EDIT/01. 16 STYLE TEXT 3D NÉM PHÁT ĂN LUÔN (ĐÃ CÓ EFFECT &amp; SOUND)/Style 01 - Xanh Mát Resort/02. [Sound Effect] Clean Whoosh.wav", "▶️ Bấm Nghe Thử")</f>
        <v/>
      </c>
      <c r="I4" s="12" t="inlineStr">
        <is>
          <t>Review resort, cafe sân vườn, ăn uống healthy, trải nghiệm chill</t>
        </is>
      </c>
      <c r="J4" s="13" t="inlineStr">
        <is>
          <t>Chèn [XANH NEON] chữ 'HOMESTAY ĐÀ LẠT / VIEW TRIỆU ĐÔ' vào 00:05</t>
        </is>
      </c>
    </row>
    <row r="5" ht="92" customHeight="1">
      <c r="A5" s="14" t="n">
        <v>2</v>
      </c>
      <c r="B5" s="15" t="n"/>
      <c r="C5" s="16" t="inlineStr">
        <is>
          <t>[HOÀNG GIA]</t>
        </is>
      </c>
      <c r="D5" s="17" t="inlineStr">
        <is>
          <t>Thương Hiệu Đẳng Cấp</t>
        </is>
      </c>
      <c r="E5" s="18" t="inlineStr">
        <is>
          <t>My presets2</t>
        </is>
      </c>
      <c r="F5" s="19" t="inlineStr">
        <is>
          <t>DOANH NHÂN &amp; THƯƠNG HIỆU</t>
        </is>
      </c>
      <c r="G5" s="20" t="inlineStr">
        <is>
          <t>Subtle Hit.wav</t>
        </is>
      </c>
      <c r="H5" s="11">
        <f>HYPERLINK("file:///Users/phuongpham/Downloads/TÀI NGUYÊN EDIT/01. 16 STYLE TEXT 3D NÉM PHÁT ĂN LUÔN (ĐÃ CÓ EFFECT &amp; SOUND)/Style 02 - Thương Hiệu Đẳng Cấp/02. [Sound Effect] Subtle Hit.wav", "▶️ Bấm Nghe Thử")</f>
        <v/>
      </c>
      <c r="I5" s="21" t="inlineStr">
        <is>
          <t>Xây dựng nhân hiệu chủ tịch, chuyên gia đầu ngành, đồ hiệu xa xỉ</t>
        </is>
      </c>
      <c r="J5" s="22" t="inlineStr">
        <is>
          <t>Chèn [HOÀNG GIA] chữ 'CHỦ TỊCH TẬP ĐOÀN / ĐẲNG CẤP 5 SAO' vào 00:08</t>
        </is>
      </c>
    </row>
    <row r="6" ht="92" customHeight="1">
      <c r="A6" s="4" t="n">
        <v>3</v>
      </c>
      <c r="B6" s="5" t="n"/>
      <c r="C6" s="6" t="inlineStr">
        <is>
          <t>[XANH VIEW BIỂN]</t>
        </is>
      </c>
      <c r="D6" s="7" t="inlineStr">
        <is>
          <t>Đón Gió View Biển</t>
        </is>
      </c>
      <c r="E6" s="8" t="inlineStr">
        <is>
          <t>My presets3</t>
        </is>
      </c>
      <c r="F6" s="23" t="inlineStr">
        <is>
          <t>DU LỊCH &amp; TRẢI NGHIỆM</t>
        </is>
      </c>
      <c r="G6" s="10" t="inlineStr">
        <is>
          <t>Pop Flash.wav</t>
        </is>
      </c>
      <c r="H6" s="11">
        <f>HYPERLINK("file:///Users/phuongpham/Downloads/TÀI NGUYÊN EDIT/01. 16 STYLE TEXT 3D NÉM PHÁT ĂN LUÔN (ĐÃ CÓ EFFECT &amp; SOUND)/Style 03 - Đón Gió View Biển/02. [Sound Effect] Pop Flash.wav", "▶️ Bấm Nghe Thử")</f>
        <v/>
      </c>
      <c r="I6" s="12" t="inlineStr">
        <is>
          <t>Flycam biển đảo, du thuyền, biệt thự nghỉ dưỡng hè, bơi lội</t>
        </is>
      </c>
      <c r="J6" s="13" t="inlineStr">
        <is>
          <t>Chèn [XANH VIEW BIỂN] chữ 'VIEW BIỂN VÔ CỰC / ĐẸP QUÊN LỐI VỀ' vào 00:12</t>
        </is>
      </c>
    </row>
    <row r="7" ht="92" customHeight="1">
      <c r="A7" s="14" t="n">
        <v>4</v>
      </c>
      <c r="B7" s="15" t="n"/>
      <c r="C7" s="16" t="inlineStr">
        <is>
          <t>[100 TỶ]</t>
        </is>
      </c>
      <c r="D7" s="17" t="inlineStr">
        <is>
          <t>Tài Chính 100 Tỷ</t>
        </is>
      </c>
      <c r="E7" s="18" t="inlineStr">
        <is>
          <t>My presets4</t>
        </is>
      </c>
      <c r="F7" s="24" t="inlineStr">
        <is>
          <t>CON SỐ &amp; TÀI CHÍNH</t>
        </is>
      </c>
      <c r="G7" s="20" t="inlineStr">
        <is>
          <t>Bass Clap.wav</t>
        </is>
      </c>
      <c r="H7" s="11">
        <f>HYPERLINK("file:///Users/phuongpham/Downloads/TÀI NGUYÊN EDIT/01. 16 STYLE TEXT 3D NÉM PHÁT ĂN LUÔN (ĐÃ CÓ EFFECT &amp; SOUND)/Style 04 - Tài Chính 100 Tỷ/02. [Sound Effect] Bass Clap.wav", "▶️ Bấm Nghe Thử")</f>
        <v/>
      </c>
      <c r="I7" s="21" t="inlineStr">
        <is>
          <t>Đập con số gây sốc: Tiền phạt, doanh thu khủng, thiệt hại, kỷ lục</t>
        </is>
      </c>
      <c r="J7" s="22" t="inlineStr">
        <is>
          <t>Chèn [100 TỶ] chữ 'PHẠT 500 TRIỆU' hoặc 'DOANH THU 10 TỶ' vào 00:15</t>
        </is>
      </c>
    </row>
    <row r="8" ht="92" customHeight="1">
      <c r="A8" s="4" t="n">
        <v>5</v>
      </c>
      <c r="B8" s="5" t="n"/>
      <c r="C8" s="6" t="inlineStr">
        <is>
          <t>[CAM BOOKING]</t>
        </is>
      </c>
      <c r="D8" s="7" t="inlineStr">
        <is>
          <t>Booking Quán Xá</t>
        </is>
      </c>
      <c r="E8" s="8" t="inlineStr">
        <is>
          <t>My presets5</t>
        </is>
      </c>
      <c r="F8" s="25" t="inlineStr">
        <is>
          <t>KÊU GỌI &amp; HÀNH ĐỘNG (CTA)</t>
        </is>
      </c>
      <c r="G8" s="10" t="inlineStr">
        <is>
          <t>Touch Screen Click.wav</t>
        </is>
      </c>
      <c r="H8" s="11">
        <f>HYPERLINK("file:///Users/phuongpham/Downloads/TÀI NGUYÊN EDIT/01. 16 STYLE TEXT 3D NÉM PHÁT ĂN LUÔN (ĐÃ CÓ EFFECT &amp; SOUND)/Style 05 - Booking Quán Xá/02. [Sound Effect] Touch Screen Click.wav", "▶️ Bấm Nghe Thử")</f>
        <v/>
      </c>
      <c r="I8" s="12" t="inlineStr">
        <is>
          <t>Review quán ăn/nhà hàng, đặt chỗ, tải app, đăng ký, click link bio</t>
        </is>
      </c>
      <c r="J8" s="13" t="inlineStr">
        <is>
          <t>Chèn [CAM BOOKING] chữ 'ĐẶT BÀN NGAY / NHẬN ƯU ĐÃI' vào 00:25</t>
        </is>
      </c>
    </row>
    <row r="9" ht="92" customHeight="1">
      <c r="A9" s="14" t="n">
        <v>6</v>
      </c>
      <c r="B9" s="15" t="n"/>
      <c r="C9" s="16" t="inlineStr">
        <is>
          <t>[ĐỎ DRAMA]</t>
        </is>
      </c>
      <c r="D9" s="17" t="inlineStr">
        <is>
          <t>Khách Hàng Tiềm Năng</t>
        </is>
      </c>
      <c r="E9" s="18" t="inlineStr">
        <is>
          <t>My presets6</t>
        </is>
      </c>
      <c r="F9" s="25" t="inlineStr">
        <is>
          <t>DRAMA &amp; BÓC PHỐT</t>
        </is>
      </c>
      <c r="G9" s="20" t="inlineStr">
        <is>
          <t>vine-boom.wav</t>
        </is>
      </c>
      <c r="H9" s="11">
        <f>HYPERLINK("file:///Users/phuongpham/Downloads/TÀI NGUYÊN EDIT/01. 16 STYLE TEXT 3D NÉM PHÁT ĂN LUÔN (ĐÃ CÓ EFFECT &amp; SOUND)/Style 06 - Khách Hàng Tiềm Năng/02. [Sound Effect] vine-boom.wav", "▶️ Bấm Nghe Thử")</f>
        <v/>
      </c>
      <c r="I9" s="21" t="inlineStr">
        <is>
          <t>Hook 3s đầu bóc phốt, Công an vào cuộc, Bắt quả tang, Biến căng</t>
        </is>
      </c>
      <c r="J9" s="22" t="inlineStr">
        <is>
          <t>Chèn [ĐỎ DRAMA] chữ 'CÔNG AN VÀO CUỘC / ADMIN BỊ BẮT' vào 00:01</t>
        </is>
      </c>
    </row>
    <row r="10" ht="92" customHeight="1">
      <c r="A10" s="4" t="n">
        <v>7</v>
      </c>
      <c r="B10" s="5" t="n"/>
      <c r="C10" s="6" t="inlineStr">
        <is>
          <t>[ĐỎ CẢNH BÁO]</t>
        </is>
      </c>
      <c r="D10" s="7" t="inlineStr">
        <is>
          <t>Lãi Suất Cao</t>
        </is>
      </c>
      <c r="E10" s="8" t="inlineStr">
        <is>
          <t>My presets7</t>
        </is>
      </c>
      <c r="F10" s="25" t="inlineStr">
        <is>
          <t>CẢNH BÁO &amp; NGUY HIỂM</t>
        </is>
      </c>
      <c r="G10" s="10" t="inlineStr">
        <is>
          <t>Riser 1.wav</t>
        </is>
      </c>
      <c r="H10" s="11">
        <f>HYPERLINK("file:///Users/phuongpham/Downloads/TÀI NGUYÊN EDIT/01. 16 STYLE TEXT 3D NÉM PHÁT ĂN LUÔN (ĐÃ CÓ EFFECT &amp; SOUND)/Style 07 - Lãi Suất Cao/02. [Sound Effect] Riser 1.wav", "▶️ Bấm Nghe Thử")</f>
        <v/>
      </c>
      <c r="I10" s="12" t="inlineStr">
        <is>
          <t>Cảnh báo lừa đảo, cạm bẫy đa cấp, tin sốc giật gân, điều cấm kỵ</t>
        </is>
      </c>
      <c r="J10" s="13" t="inlineStr">
        <is>
          <t>Chèn [ĐỎ CẢNH BÁO] chữ 'CẠM BẪY LỪA ĐẢO / MẤT TRẮNG TIỀN' vào 00:10</t>
        </is>
      </c>
    </row>
    <row r="11" ht="92" customHeight="1">
      <c r="A11" s="14" t="n">
        <v>8</v>
      </c>
      <c r="B11" s="15" t="n"/>
      <c r="C11" s="16" t="inlineStr">
        <is>
          <t>[ĐỎ THỜI SỰ]</t>
        </is>
      </c>
      <c r="D11" s="17" t="inlineStr">
        <is>
          <t>Căn Hộ Officetel</t>
        </is>
      </c>
      <c r="E11" s="18" t="inlineStr">
        <is>
          <t>My presets8</t>
        </is>
      </c>
      <c r="F11" s="26" t="inlineStr">
        <is>
          <t>THỜI SỰ &amp; TIN TỨC</t>
        </is>
      </c>
      <c r="G11" s="20" t="inlineStr">
        <is>
          <t>Subtle Hit.wav</t>
        </is>
      </c>
      <c r="H11" s="11">
        <f>HYPERLINK("file:///Users/phuongpham/Downloads/TÀI NGUYÊN EDIT/01. 16 STYLE TEXT 3D NÉM PHÁT ĂN LUÔN (ĐÃ CÓ EFFECT &amp; SOUND)/Style 08 - Căn Hộ Officetel/02. [Sound Effect] Subtle Hit.wav", "▶️ Bấm Nghe Thử")</f>
        <v/>
      </c>
      <c r="I11" s="21" t="inlineStr">
        <is>
          <t>Điểm tin nhanh TikTok, trích lời khai, thông tin điều tra, thông số</t>
        </is>
      </c>
      <c r="J11" s="22" t="inlineStr">
        <is>
          <t>Chèn [ĐỎ THỜI SỰ] chữ 'TRÍCH LỜI KHAI / TẠI CƠ QUAN ĐIỀU TRA' vào 00:18</t>
        </is>
      </c>
    </row>
    <row r="12" ht="92" customHeight="1">
      <c r="A12" s="4" t="n">
        <v>9</v>
      </c>
      <c r="B12" s="5" t="n"/>
      <c r="C12" s="6" t="inlineStr">
        <is>
          <t>[VÀNG TỌA LẠC]</t>
        </is>
      </c>
      <c r="D12" s="7" t="inlineStr">
        <is>
          <t>Vị Trí Vàng</t>
        </is>
      </c>
      <c r="E12" s="8" t="inlineStr">
        <is>
          <t>My presets9</t>
        </is>
      </c>
      <c r="F12" s="19" t="inlineStr">
        <is>
          <t>SANG TRỌNG &amp; BẤT ĐỘNG SẢN</t>
        </is>
      </c>
      <c r="G12" s="10" t="inlineStr">
        <is>
          <t>Sequence Click.wav</t>
        </is>
      </c>
      <c r="H12" s="11">
        <f>HYPERLINK("file:///Users/phuongpham/Downloads/TÀI NGUYÊN EDIT/01. 16 STYLE TEXT 3D NÉM PHÁT ĂN LUÔN (ĐÃ CÓ EFFECT &amp; SOUND)/Style 09 - Vị Trí Vàng/02. [Sound Effect] Sequence Click.wav", "▶️ Bấm Nghe Thử")</f>
        <v/>
      </c>
      <c r="I12" s="12" t="inlineStr">
        <is>
          <t>Tọa độ VIP, vị trí đắc địa, bất động sản trung tâm, phong thủy</t>
        </is>
      </c>
      <c r="J12" s="13" t="inlineStr">
        <is>
          <t>Chèn [VÀNG TỌA LẠC] chữ 'TỌA LẠC TRUNG TÂM / VỊ TRÍ ĐẮC ĐỊA' vào 00:14</t>
        </is>
      </c>
    </row>
    <row r="13" ht="92" customHeight="1">
      <c r="A13" s="14" t="n">
        <v>10</v>
      </c>
      <c r="B13" s="15" t="n"/>
      <c r="C13" s="16" t="inlineStr">
        <is>
          <t>[CYAN ẤN TƯỢNG]</t>
        </is>
      </c>
      <c r="D13" s="17" t="inlineStr">
        <is>
          <t>Ấn Tượng Ngay</t>
        </is>
      </c>
      <c r="E13" s="18" t="inlineStr">
        <is>
          <t>My presets10</t>
        </is>
      </c>
      <c r="F13" s="23" t="inlineStr">
        <is>
          <t>TRẺ TRUNG &amp; LIFESTYLE</t>
        </is>
      </c>
      <c r="G13" s="20" t="inlineStr">
        <is>
          <t>ding.wav</t>
        </is>
      </c>
      <c r="H13" s="11">
        <f>HYPERLINK("file:///Users/phuongpham/Downloads/TÀI NGUYÊN EDIT/01. 16 STYLE TEXT 3D NÉM PHÁT ĂN LUÔN (ĐÃ CÓ EFFECT &amp; SOUND)/Style 10 - Ấn Tượng Ngay/02. [Sound Effect] ding.wav", "▶️ Bấm Nghe Thử")</f>
        <v/>
      </c>
      <c r="I13" s="21" t="inlineStr">
        <is>
          <t>Khoảnh khắc Wow, phát hiện góc bí mật, sống ảo cực chill, mẹo GenZ</t>
        </is>
      </c>
      <c r="J13" s="22" t="inlineStr">
        <is>
          <t>Chèn [CYAN ẤN TƯỢNG] chữ 'GÓC SỐNG ẢO / ĐẸP HÚT HỒN' vào 00:07</t>
        </is>
      </c>
    </row>
    <row r="14" ht="92" customHeight="1">
      <c r="A14" s="4" t="n">
        <v>11</v>
      </c>
      <c r="B14" s="5" t="n"/>
      <c r="C14" s="6" t="inlineStr">
        <is>
          <t>[BẠC MINIMALIST]</t>
        </is>
      </c>
      <c r="D14" s="7" t="inlineStr">
        <is>
          <t>Tâm Điểm Tương Lai</t>
        </is>
      </c>
      <c r="E14" s="8" t="inlineStr">
        <is>
          <t>My presets11</t>
        </is>
      </c>
      <c r="F14" s="26" t="inlineStr">
        <is>
          <t>NGHỆ THUẬT &amp; TỐI GIẢN</t>
        </is>
      </c>
      <c r="G14" s="10" t="inlineStr">
        <is>
          <t>Bass Clap.wav</t>
        </is>
      </c>
      <c r="H14" s="11">
        <f>HYPERLINK("file:///Users/phuongpham/Downloads/TÀI NGUYÊN EDIT/01. 16 STYLE TEXT 3D NÉM PHÁT ĂN LUÔN (ĐÃ CÓ EFFECT &amp; SOUND)/Style 11 - Tâm Điểm Tương Lai/02. [Sound Effect] Bass Clap.wav", "▶️ Bấm Nghe Thử")</f>
        <v/>
      </c>
      <c r="I14" s="12" t="inlineStr">
        <is>
          <t>Kiến trúc tối giản, triết lý sống, phân tích sâu, thời trang có gu</t>
        </is>
      </c>
      <c r="J14" s="13" t="inlineStr">
        <is>
          <t>Chèn [BẠC MINIMALIST] chữ 'TRIẾT LÝ TỐI GIẢN / TINH TẾ TỪNG NÉT' vào 00:20</t>
        </is>
      </c>
    </row>
    <row r="15" ht="92" customHeight="1">
      <c r="A15" s="14" t="n">
        <v>12</v>
      </c>
      <c r="B15" s="15" t="n"/>
      <c r="C15" s="16" t="inlineStr">
        <is>
          <t>[HOÀNG KIM GOLD]</t>
        </is>
      </c>
      <c r="D15" s="17" t="inlineStr">
        <is>
          <t>Sa Bàn Khai Trương</t>
        </is>
      </c>
      <c r="E15" s="18" t="inlineStr">
        <is>
          <t>My presets12</t>
        </is>
      </c>
      <c r="F15" s="19" t="inlineStr">
        <is>
          <t>SỰ KIỆN &amp; KHAI TRƯƠNG</t>
        </is>
      </c>
      <c r="G15" s="20" t="inlineStr">
        <is>
          <t>Sun Ray.wav</t>
        </is>
      </c>
      <c r="H15" s="11">
        <f>HYPERLINK("file:///Users/phuongpham/Downloads/TÀI NGUYÊN EDIT/01. 16 STYLE TEXT 3D NÉM PHÁT ĂN LUÔN (ĐÃ CÓ EFFECT &amp; SOUND)/Style 12 - Sa Bàn Khai Trương/02. [Sound Effect] Sun Ray.wav", "▶️ Bấm Nghe Thử")</f>
        <v/>
      </c>
      <c r="I15" s="21" t="inlineStr">
        <is>
          <t>Sự kiện khai trương, khánh thành, công bố đối tác, vinh danh</t>
        </is>
      </c>
      <c r="J15" s="22" t="inlineStr">
        <is>
          <t>Chèn [HOÀNG KIM GOLD] chữ 'ĐẠI TIỆC KHAI TRƯƠNG / BÙNG NỔ ƯU ĐÃI' vào 00:03</t>
        </is>
      </c>
    </row>
    <row r="16" ht="92" customHeight="1">
      <c r="A16" s="4" t="n">
        <v>13</v>
      </c>
      <c r="B16" s="5" t="n"/>
      <c r="C16" s="6" t="inlineStr">
        <is>
          <t>[BĂNG TUYẾT]</t>
        </is>
      </c>
      <c r="D16" s="7" t="inlineStr">
        <is>
          <t>Siêu Dự Án</t>
        </is>
      </c>
      <c r="E16" s="8" t="inlineStr">
        <is>
          <t>My presets13</t>
        </is>
      </c>
      <c r="F16" s="23" t="inlineStr">
        <is>
          <t>QUY MÔ &amp; TẦM VÓC</t>
        </is>
      </c>
      <c r="G16" s="10" t="inlineStr">
        <is>
          <t>Long Cinema Whoosh.wav</t>
        </is>
      </c>
      <c r="H16" s="11">
        <f>HYPERLINK("file:///Users/phuongpham/Downloads/TÀI NGUYÊN EDIT/01. 16 STYLE TEXT 3D NÉM PHÁT ĂN LUÔN (ĐÃ CÓ EFFECT &amp; SOUND)/Style 13 - Siêu Dự Án/02. [Sound Effect] Long Cinema Whoosh.wav", "▶️ Bấm Nghe Thử")</f>
        <v/>
      </c>
      <c r="I16" s="12" t="inlineStr">
        <is>
          <t>Dự án quy mô quốc tế, phân tích tài chính vĩ mô, điện ảnh cinematic</t>
        </is>
      </c>
      <c r="J16" s="13" t="inlineStr">
        <is>
          <t>Chèn [BĂNG TUYẾT] chữ 'ĐẠI DỰ ÁN / QUY MÔ TỶ ĐÔ' vào 00:16</t>
        </is>
      </c>
    </row>
    <row r="17" ht="92" customHeight="1">
      <c r="A17" s="14" t="n">
        <v>14</v>
      </c>
      <c r="B17" s="15" t="n"/>
      <c r="C17" s="16" t="inlineStr">
        <is>
          <t>[CAM SALE SHOCK]</t>
        </is>
      </c>
      <c r="D17" s="17" t="inlineStr">
        <is>
          <t>Siêu Ưu Đãi</t>
        </is>
      </c>
      <c r="E17" s="18" t="inlineStr">
        <is>
          <t>My presets14</t>
        </is>
      </c>
      <c r="F17" s="24" t="inlineStr">
        <is>
          <t>KHUYẾN MÃI &amp; BÁN HÀNG</t>
        </is>
      </c>
      <c r="G17" s="20" t="inlineStr">
        <is>
          <t>Camera Flash.wav</t>
        </is>
      </c>
      <c r="H17" s="11">
        <f>HYPERLINK("file:///Users/phuongpham/Downloads/TÀI NGUYÊN EDIT/01. 16 STYLE TEXT 3D NÉM PHÁT ĂN LUÔN (ĐÃ CÓ EFFECT &amp; SOUND)/Style 14 - Siêu Ưu Đãi/02. [Sound Effect] Camera Flash.wav", "▶️ Bấm Nghe Thử")</f>
        <v/>
      </c>
      <c r="I17" s="21" t="inlineStr">
        <is>
          <t>Tung deal giảm giá sốc, flash sale giờ vàng, tặng quà, xả hàng</t>
        </is>
      </c>
      <c r="J17" s="22" t="inlineStr">
        <is>
          <t>Chèn [CAM SALE SHOCK] chữ 'SIÊU GIẢM GIÁ / MUA 1 TẶNG 1' vào 00:22</t>
        </is>
      </c>
    </row>
    <row r="18" ht="92" customHeight="1">
      <c r="A18" s="4" t="n">
        <v>15</v>
      </c>
      <c r="B18" s="5" t="n"/>
      <c r="C18" s="6" t="inlineStr">
        <is>
          <t>[CYAN TƯƠNG LAI]</t>
        </is>
      </c>
      <c r="D18" s="7" t="inlineStr">
        <is>
          <t>Tiến Độ Hạ Tầng</t>
        </is>
      </c>
      <c r="E18" s="8" t="inlineStr">
        <is>
          <t>My presets15</t>
        </is>
      </c>
      <c r="F18" s="23" t="inlineStr">
        <is>
          <t>HẠ TẦNG &amp; CÔNG NGHỆ</t>
        </is>
      </c>
      <c r="G18" s="10" t="inlineStr">
        <is>
          <t>Quick Whoosh.wav</t>
        </is>
      </c>
      <c r="H18" s="11">
        <f>HYPERLINK("file:///Users/phuongpham/Downloads/TÀI NGUYÊN EDIT/01. 16 STYLE TEXT 3D NÉM PHÁT ĂN LUÔN (ĐÃ CÓ EFFECT &amp; SOUND)/Style 15 - Tiến Độ Hạ Tầng/02. [Sound Effect] Quick Whoosh.wav", "▶️ Bấm Nghe Thử")</f>
        <v/>
      </c>
      <c r="I18" s="12" t="inlineStr">
        <is>
          <t>Tiến độ hạ tầng giao thông, công nghệ AI mới, robot, đầu tư công</t>
        </is>
      </c>
      <c r="J18" s="13" t="inlineStr">
        <is>
          <t>Chèn [CYAN TƯƠNG LAI] chữ 'CÔNG NGHỆ ĐỘT PHÁ / TƯƠNG LAI LÀ ĐÂY' vào 00:11</t>
        </is>
      </c>
    </row>
    <row r="19" ht="92" customHeight="1">
      <c r="A19" s="14" t="n">
        <v>16</v>
      </c>
      <c r="B19" s="15" t="n"/>
      <c r="C19" s="16" t="inlineStr">
        <is>
          <t>[VÀNG CHAMPAGNE]</t>
        </is>
      </c>
      <c r="D19" s="17" t="inlineStr">
        <is>
          <t>Thanh Toán Nhẹ Nhàng</t>
        </is>
      </c>
      <c r="E19" s="18" t="inlineStr">
        <is>
          <t>My presets16</t>
        </is>
      </c>
      <c r="F19" s="19" t="inlineStr">
        <is>
          <t>AN TÂM &amp; KẾT THÚC (OUTRO)</t>
        </is>
      </c>
      <c r="G19" s="20" t="inlineStr">
        <is>
          <t>Take it Easy.wav</t>
        </is>
      </c>
      <c r="H19" s="11">
        <f>HYPERLINK("file:///Users/phuongpham/Downloads/TÀI NGUYÊN EDIT/01. 16 STYLE TEXT 3D NÉM PHÁT ĂN LUÔN (ĐÃ CÓ EFFECT &amp; SOUND)/Style 16 - Thanh Toán Nhẹ Nhàng/02. [Sound Effect] Take it Easy.wav", "▶️ Bấm Nghe Thử")</f>
        <v/>
      </c>
      <c r="I19" s="21" t="inlineStr">
        <is>
          <t>Chính sách trả góp, giải pháp hỗ trợ an tâm, Outro kết video</t>
        </is>
      </c>
      <c r="J19" s="22" t="inlineStr">
        <is>
          <t>Chèn [VÀNG CHAMPAGNE] chữ 'GIẢI PHÁP TIẾT KIỆM / AN TÂM SỬ DỤNG' vào 00:27</t>
        </is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18" customWidth="1" min="4" max="4"/>
    <col width="14" customWidth="1" min="5" max="5"/>
    <col width="18" customWidth="1" min="6" max="6"/>
    <col width="34" customWidth="1" min="7" max="7"/>
    <col width="42" customWidth="1" min="8" max="8"/>
  </cols>
  <sheetData>
    <row r="1" ht="42" customHeight="1">
      <c r="A1" s="27" t="inlineStr">
        <is>
          <t>🎵 KHO 21 SOUND EFFECT CHỌN LỌC DÀNH RIÊNG CHO VIDEO NGẮN TIKTOK/REELS</t>
        </is>
      </c>
    </row>
    <row r="2" ht="24" customHeight="1">
      <c r="A2" s="2" t="inlineStr">
        <is>
          <t>Bấm '▶️ Bấm Nghe Thử' để nghe trực tiếp từng file âm thanh | Đã cân chỉnh chuẩn thời lượng &amp; âm lượng Gain dB</t>
        </is>
      </c>
    </row>
    <row r="3" ht="30" customHeight="1">
      <c r="A3" s="28" t="inlineStr">
        <is>
          <t>STT</t>
        </is>
      </c>
      <c r="B3" s="28" t="inlineStr">
        <is>
          <t>NHÓM ÂM THANH</t>
        </is>
      </c>
      <c r="C3" s="28" t="inlineStr">
        <is>
          <t>TÊN SOUND EFFECT</t>
        </is>
      </c>
      <c r="D3" s="28" t="inlineStr">
        <is>
          <t>🔊 NGHE THỬ (CLICK)</t>
        </is>
      </c>
      <c r="E3" s="28" t="inlineStr">
        <is>
          <t>THỜI LƯỢNG</t>
        </is>
      </c>
      <c r="F3" s="28" t="inlineStr">
        <is>
          <t>ÂM LƯỢNG GAIN</t>
        </is>
      </c>
      <c r="G3" s="28" t="inlineStr">
        <is>
          <t>ĐẶC TRƯNG ÂM THANH</t>
        </is>
      </c>
      <c r="H3" s="28" t="inlineStr">
        <is>
          <t>CÁCH DÙNG &amp; PHỐI VỚI TEXT 3D</t>
        </is>
      </c>
    </row>
    <row r="4" ht="36" customHeight="1">
      <c r="A4" s="4" t="n">
        <v>1</v>
      </c>
      <c r="B4" s="29" t="inlineStr">
        <is>
          <t>01. WHOOSH CHUYỂN CẢNH</t>
        </is>
      </c>
      <c r="C4" s="10" t="inlineStr">
        <is>
          <t>Clean Whoosh.wav</t>
        </is>
      </c>
      <c r="D4" s="11">
        <f>HYPERLINK("file:///Users/phuongpham/Downloads/TÀI NGUYÊN EDIT/02. KHO SOUND EFFECT CHỌN LỌC (WHOOSH - HIT - TING - MEME)/00 - BỘ SFX TINH GỌN (HOT NHẤT VIDEO NGẮN - 21 FILE CHUẨN)/01_whoosh_chuyen_canh/Clean Whoosh.wav", "▶️ Bấm Nghe Thử")</f>
        <v/>
      </c>
      <c r="E4" s="30" t="inlineStr">
        <is>
          <t>1.85s</t>
        </is>
      </c>
      <c r="F4" s="31" t="inlineStr">
        <is>
          <t>-6dB</t>
        </is>
      </c>
      <c r="G4" s="12" t="inlineStr">
        <is>
          <t>Gió lướt nhẹ, sạch sẽ, không rè tạp âm</t>
        </is>
      </c>
      <c r="H4" s="12" t="inlineStr">
        <is>
          <t>Chuyển cảnh text, lật trang hình ảnh, zoom in/out vlog đời sống</t>
        </is>
      </c>
    </row>
    <row r="5" ht="36" customHeight="1">
      <c r="A5" s="14" t="n">
        <v>2</v>
      </c>
      <c r="B5" s="29" t="inlineStr">
        <is>
          <t>01. WHOOSH CHUYỂN CẢNH</t>
        </is>
      </c>
      <c r="C5" s="20" t="inlineStr">
        <is>
          <t>Deep Low Whoosh.wav</t>
        </is>
      </c>
      <c r="D5" s="11">
        <f>HYPERLINK("file:///Users/phuongpham/Downloads/TÀI NGUYÊN EDIT/02. KHO SOUND EFFECT CHỌN LỌC (WHOOSH - HIT - TING - MEME)/00 - BỘ SFX TINH GỌN (HOT NHẤT VIDEO NGẮN - 21 FILE CHUẨN)/01_whoosh_chuyen_canh/Deep Low Whoosh.wav", "▶️ Bấm Nghe Thử")</f>
        <v/>
      </c>
      <c r="E5" s="32" t="inlineStr">
        <is>
          <t>2.34s</t>
        </is>
      </c>
      <c r="F5" s="33" t="inlineStr">
        <is>
          <t>-5dB</t>
        </is>
      </c>
      <c r="G5" s="21" t="inlineStr">
        <is>
          <t>Gió trầm sâu, dội âm bass nặng uy lực</t>
        </is>
      </c>
      <c r="H5" s="21" t="inlineStr">
        <is>
          <t>Chuyển cảnh vĩ mô, giới thiệu dự án lớn, bước ngoặt câu chuyện</t>
        </is>
      </c>
    </row>
    <row r="6" ht="36" customHeight="1">
      <c r="A6" s="4" t="n">
        <v>3</v>
      </c>
      <c r="B6" s="29" t="inlineStr">
        <is>
          <t>01. WHOOSH CHUYỂN CẢNH</t>
        </is>
      </c>
      <c r="C6" s="10" t="inlineStr">
        <is>
          <t>Hard Whoosh2.wav</t>
        </is>
      </c>
      <c r="D6" s="11">
        <f>HYPERLINK("file:///Users/phuongpham/Downloads/TÀI NGUYÊN EDIT/02. KHO SOUND EFFECT CHỌN LỌC (WHOOSH - HIT - TING - MEME)/00 - BỘ SFX TINH GỌN (HOT NHẤT VIDEO NGẮN - 21 FILE CHUẨN)/01_whoosh_chuyen_canh/Hard Whoosh2.wav", "▶️ Bấm Nghe Thử")</f>
        <v/>
      </c>
      <c r="E6" s="30" t="inlineStr">
        <is>
          <t>2.12s</t>
        </is>
      </c>
      <c r="F6" s="31" t="inlineStr">
        <is>
          <t>-6dB</t>
        </is>
      </c>
      <c r="G6" s="12" t="inlineStr">
        <is>
          <t>Vút mạnh dứt khoát, tiếng xé gió đanh thép</t>
        </is>
      </c>
      <c r="H6" s="12" t="inlineStr">
        <is>
          <t>Cắt cảnh gắt, cú lia máy giật nhanh (Whip pan), cảnh báo nguy hiểm</t>
        </is>
      </c>
    </row>
    <row r="7" ht="36" customHeight="1">
      <c r="A7" s="14" t="n">
        <v>4</v>
      </c>
      <c r="B7" s="29" t="inlineStr">
        <is>
          <t>01. WHOOSH CHUYỂN CẢNH</t>
        </is>
      </c>
      <c r="C7" s="20" t="inlineStr">
        <is>
          <t>Long Cinema Whoosh.wav</t>
        </is>
      </c>
      <c r="D7" s="11">
        <f>HYPERLINK("file:///Users/phuongpham/Downloads/TÀI NGUYÊN EDIT/02. KHO SOUND EFFECT CHỌN LỌC (WHOOSH - HIT - TING - MEME)/00 - BỘ SFX TINH GỌN (HOT NHẤT VIDEO NGẮN - 21 FILE CHUẨN)/01_whoosh_chuyen_canh/Long Cinema Whoosh.wav", "▶️ Bấm Nghe Thử")</f>
        <v/>
      </c>
      <c r="E7" s="32" t="inlineStr">
        <is>
          <t>5.00s</t>
        </is>
      </c>
      <c r="F7" s="33" t="inlineStr">
        <is>
          <t>-8dB</t>
        </is>
      </c>
      <c r="G7" s="21" t="inlineStr">
        <is>
          <t>Tiếng gió điện ảnh kéo dài mượt mà huyền bí</t>
        </is>
      </c>
      <c r="H7" s="21" t="inlineStr">
        <is>
          <t>Phân cảnh cinematic, giới thiệu nhân vật quan trọng, flycam toàn cảnh</t>
        </is>
      </c>
    </row>
    <row r="8" ht="36" customHeight="1">
      <c r="A8" s="4" t="n">
        <v>5</v>
      </c>
      <c r="B8" s="29" t="inlineStr">
        <is>
          <t>01. WHOOSH CHUYỂN CẢNH</t>
        </is>
      </c>
      <c r="C8" s="10" t="inlineStr">
        <is>
          <t>Quick Whoosh.wav</t>
        </is>
      </c>
      <c r="D8" s="11">
        <f>HYPERLINK("file:///Users/phuongpham/Downloads/TÀI NGUYÊN EDIT/02. KHO SOUND EFFECT CHỌN LỌC (WHOOSH - HIT - TING - MEME)/00 - BỘ SFX TINH GỌN (HOT NHẤT VIDEO NGẮN - 21 FILE CHUẨN)/01_whoosh_chuyen_canh/Quick Whoosh.wav", "▶️ Bấm Nghe Thử")</f>
        <v/>
      </c>
      <c r="E8" s="30" t="inlineStr">
        <is>
          <t>2.12s</t>
        </is>
      </c>
      <c r="F8" s="31" t="inlineStr">
        <is>
          <t>-6dB</t>
        </is>
      </c>
      <c r="G8" s="12" t="inlineStr">
        <is>
          <t>Lướt nhanh tốc độ cao, nhịp điệu dồn dập</t>
        </is>
      </c>
      <c r="H8" s="12" t="inlineStr">
        <is>
          <t>Chèn text thông số, lật ảnh slide nhanh, nhịp dựng TikTok dồn dập</t>
        </is>
      </c>
    </row>
    <row r="9" ht="36" customHeight="1">
      <c r="A9" s="14" t="n">
        <v>6</v>
      </c>
      <c r="B9" s="29" t="inlineStr">
        <is>
          <t>01. WHOOSH CHUYỂN CẢNH</t>
        </is>
      </c>
      <c r="C9" s="20" t="inlineStr">
        <is>
          <t>Whoosh Impact.wav</t>
        </is>
      </c>
      <c r="D9" s="11">
        <f>HYPERLINK("file:///Users/phuongpham/Downloads/TÀI NGUYÊN EDIT/02. KHO SOUND EFFECT CHỌN LỌC (WHOOSH - HIT - TING - MEME)/00 - BỘ SFX TINH GỌN (HOT NHẤT VIDEO NGẮN - 21 FILE CHUẨN)/01_whoosh_chuyen_canh/Whoosh Impact.wav", "▶️ Bấm Nghe Thử")</f>
        <v/>
      </c>
      <c r="E9" s="32" t="inlineStr">
        <is>
          <t>5.31s</t>
        </is>
      </c>
      <c r="F9" s="33" t="inlineStr">
        <is>
          <t>-4dB</t>
        </is>
      </c>
      <c r="G9" s="21" t="inlineStr">
        <is>
          <t>Vút gió rồi va đập dội âm cực mạnh (Combo 2 trong 1)</t>
        </is>
      </c>
      <c r="H9" s="21" t="inlineStr">
        <is>
          <t>Hook 3s đầu giật gân, chữ 3D rơi đập xuống màn hình, tạo sốc thị giác</t>
        </is>
      </c>
    </row>
    <row r="10" ht="36" customHeight="1">
      <c r="A10" s="4" t="n">
        <v>7</v>
      </c>
      <c r="B10" s="34" t="inlineStr">
        <is>
          <t>02. HIT ĐIỂM NHẤN &amp; VA ĐẬP</t>
        </is>
      </c>
      <c r="C10" s="10" t="inlineStr">
        <is>
          <t>Bass Clap.wav</t>
        </is>
      </c>
      <c r="D10" s="11">
        <f>HYPERLINK("file:///Users/phuongpham/Downloads/TÀI NGUYÊN EDIT/02. KHO SOUND EFFECT CHỌN LỌC (WHOOSH - HIT - TING - MEME)/00 - BỘ SFX TINH GỌN (HOT NHẤT VIDEO NGẮN - 21 FILE CHUẨN)/02_hit_diem_nhan/Bass Clap.wav", "▶️ Bấm Nghe Thử")</f>
        <v/>
      </c>
      <c r="E10" s="30" t="inlineStr">
        <is>
          <t>4.72s</t>
        </is>
      </c>
      <c r="F10" s="31" t="inlineStr">
        <is>
          <t>-5dB</t>
        </is>
      </c>
      <c r="G10" s="12" t="inlineStr">
        <is>
          <t>Tiếng vỗ tay kèm âm bass trầm cộng hưởng</t>
        </is>
      </c>
      <c r="H10" s="12" t="inlineStr">
        <is>
          <t>Nhấn mạnh con số tiền tỷ, thành tựu kỷ lục, khẳng định luận điểm đanh thép</t>
        </is>
      </c>
    </row>
    <row r="11" ht="36" customHeight="1">
      <c r="A11" s="14" t="n">
        <v>8</v>
      </c>
      <c r="B11" s="34" t="inlineStr">
        <is>
          <t>02. HIT ĐIỂM NHẤN &amp; VA ĐẬP</t>
        </is>
      </c>
      <c r="C11" s="20" t="inlineStr">
        <is>
          <t>Slow Hit.wav</t>
        </is>
      </c>
      <c r="D11" s="11">
        <f>HYPERLINK("file:///Users/phuongpham/Downloads/TÀI NGUYÊN EDIT/02. KHO SOUND EFFECT CHỌN LỌC (WHOOSH - HIT - TING - MEME)/00 - BỘ SFX TINH GỌN (HOT NHẤT VIDEO NGẮN - 21 FILE CHUẨN)/02_hit_diem_nhan/Slow Hit.wav", "▶️ Bấm Nghe Thử")</f>
        <v/>
      </c>
      <c r="E11" s="32" t="inlineStr">
        <is>
          <t>4.87s</t>
        </is>
      </c>
      <c r="F11" s="33" t="inlineStr">
        <is>
          <t>-6dB</t>
        </is>
      </c>
      <c r="G11" s="21" t="inlineStr">
        <is>
          <t>Cú đánh nặng chậm rãi, âm ngân dài trang trọng</t>
        </is>
      </c>
      <c r="H11" s="21" t="inlineStr">
        <is>
          <t>Khai trương, ra mắt thương hiệu, công bố quyết định lớn, khoảnh khắc VIP</t>
        </is>
      </c>
    </row>
    <row r="12" ht="36" customHeight="1">
      <c r="A12" s="4" t="n">
        <v>9</v>
      </c>
      <c r="B12" s="34" t="inlineStr">
        <is>
          <t>02. HIT ĐIỂM NHẤN &amp; VA ĐẬP</t>
        </is>
      </c>
      <c r="C12" s="10" t="inlineStr">
        <is>
          <t>Subtle Hit.wav</t>
        </is>
      </c>
      <c r="D12" s="11">
        <f>HYPERLINK("file:///Users/phuongpham/Downloads/TÀI NGUYÊN EDIT/02. KHO SOUND EFFECT CHỌN LỌC (WHOOSH - HIT - TING - MEME)/00 - BỘ SFX TINH GỌN (HOT NHẤT VIDEO NGẮN - 21 FILE CHUẨN)/02_hit_diem_nhan/Subtle Hit.wav", "▶️ Bấm Nghe Thử")</f>
        <v/>
      </c>
      <c r="E12" s="30" t="inlineStr">
        <is>
          <t>2.43s</t>
        </is>
      </c>
      <c r="F12" s="31" t="inlineStr">
        <is>
          <t>-8dB</t>
        </is>
      </c>
      <c r="G12" s="12" t="inlineStr">
        <is>
          <t>Va chạm tinh tế, âm thanh nhẹ nhàng thanh lịch</t>
        </is>
      </c>
      <c r="H12" s="12" t="inlineStr">
        <is>
          <t>Hiện chữ quote triết lý, thời trang quiet luxury, logo thương hiệu tối giản</t>
        </is>
      </c>
    </row>
    <row r="13" ht="36" customHeight="1">
      <c r="A13" s="14" t="n">
        <v>10</v>
      </c>
      <c r="B13" s="34" t="inlineStr">
        <is>
          <t>02. HIT ĐIỂM NHẤN &amp; VA ĐẬP</t>
        </is>
      </c>
      <c r="C13" s="20" t="inlineStr">
        <is>
          <t>Sun Ray.wav</t>
        </is>
      </c>
      <c r="D13" s="11">
        <f>HYPERLINK("file:///Users/phuongpham/Downloads/TÀI NGUYÊN EDIT/02. KHO SOUND EFFECT CHỌN LỌC (WHOOSH - HIT - TING - MEME)/00 - BỘ SFX TINH GỌN (HOT NHẤT VIDEO NGẮN - 21 FILE CHUẨN)/02_hit_diem_nhan/Sun Ray.wav", "▶️ Bấm Nghe Thử")</f>
        <v/>
      </c>
      <c r="E13" s="32" t="inlineStr">
        <is>
          <t>1.27s</t>
        </is>
      </c>
      <c r="F13" s="33" t="inlineStr">
        <is>
          <t>-6dB</t>
        </is>
      </c>
      <c r="G13" s="21" t="inlineStr">
        <is>
          <t>Âm thanh tươi sáng, lấp lánh như tia nắng ấm</t>
        </is>
      </c>
      <c r="H13" s="21" t="inlineStr">
        <is>
          <t>Du lịch bình minh, view biển, đồ ăn ngon, khoảnh khắc hạnh phúc tràn ngập</t>
        </is>
      </c>
    </row>
    <row r="14" ht="36" customHeight="1">
      <c r="A14" s="4" t="n">
        <v>11</v>
      </c>
      <c r="B14" s="34" t="inlineStr">
        <is>
          <t>02. HIT ĐIỂM NHẤN &amp; VA ĐẬP</t>
        </is>
      </c>
      <c r="C14" s="10" t="inlineStr">
        <is>
          <t>Take it Easy.wav</t>
        </is>
      </c>
      <c r="D14" s="11">
        <f>HYPERLINK("file:///Users/phuongpham/Downloads/TÀI NGUYÊN EDIT/02. KHO SOUND EFFECT CHỌN LỌC (WHOOSH - HIT - TING - MEME)/00 - BỘ SFX TINH GỌN (HOT NHẤT VIDEO NGẮN - 21 FILE CHUẨN)/02_hit_diem_nhan/Take it Easy.wav", "▶️ Bấm Nghe Thử")</f>
        <v/>
      </c>
      <c r="E14" s="30" t="inlineStr">
        <is>
          <t>5.25s</t>
        </is>
      </c>
      <c r="F14" s="31" t="inlineStr">
        <is>
          <t>-7dB</t>
        </is>
      </c>
      <c r="G14" s="12" t="inlineStr">
        <is>
          <t>Âm điệu thư giãn, an tâm, buông bỏ căng thẳng</t>
        </is>
      </c>
      <c r="H14" s="12" t="inlineStr">
        <is>
          <t>Outro kết thúc video, chính sách hỗ trợ khách hàng, lời chúc tốt đẹp</t>
        </is>
      </c>
    </row>
    <row r="15" ht="36" customHeight="1">
      <c r="A15" s="14" t="n">
        <v>12</v>
      </c>
      <c r="B15" s="35" t="inlineStr">
        <is>
          <t>03. CLICK HÀNH ĐỘNG &amp; TƯƠNG TÁC</t>
        </is>
      </c>
      <c r="C15" s="20" t="inlineStr">
        <is>
          <t>Camera Flash.wav</t>
        </is>
      </c>
      <c r="D15" s="11">
        <f>HYPERLINK("file:///Users/phuongpham/Downloads/TÀI NGUYÊN EDIT/02. KHO SOUND EFFECT CHỌN LỌC (WHOOSH - HIT - TING - MEME)/00 - BỘ SFX TINH GỌN (HOT NHẤT VIDEO NGẮN - 21 FILE CHUẨN)/03_click_hanh_dong/Camera Flash.wav", "▶️ Bấm Nghe Thử")</f>
        <v/>
      </c>
      <c r="E15" s="32" t="inlineStr">
        <is>
          <t>1.76s</t>
        </is>
      </c>
      <c r="F15" s="33" t="inlineStr">
        <is>
          <t>-8dB</t>
        </is>
      </c>
      <c r="G15" s="21" t="inlineStr">
        <is>
          <t>Tiếng màn trập máy ảnh cơ chớp sáng</t>
        </is>
      </c>
      <c r="H15" s="21" t="inlineStr">
        <is>
          <t>Flash sale chớp nhoáng, chụp màn hình bằng chứng bóc phốt, pose dáng sống ảo</t>
        </is>
      </c>
    </row>
    <row r="16" ht="36" customHeight="1">
      <c r="A16" s="4" t="n">
        <v>13</v>
      </c>
      <c r="B16" s="35" t="inlineStr">
        <is>
          <t>03. CLICK HÀNH ĐỘNG &amp; TƯƠNG TÁC</t>
        </is>
      </c>
      <c r="C16" s="10" t="inlineStr">
        <is>
          <t>Pop Flash.wav</t>
        </is>
      </c>
      <c r="D16" s="11">
        <f>HYPERLINK("file:///Users/phuongpham/Downloads/TÀI NGUYÊN EDIT/02. KHO SOUND EFFECT CHỌN LỌC (WHOOSH - HIT - TING - MEME)/00 - BỘ SFX TINH GỌN (HOT NHẤT VIDEO NGẮN - 21 FILE CHUẨN)/03_click_hanh_dong/Pop Flash.wav", "▶️ Bấm Nghe Thử")</f>
        <v/>
      </c>
      <c r="E16" s="30" t="inlineStr">
        <is>
          <t>1.13s</t>
        </is>
      </c>
      <c r="F16" s="31" t="inlineStr">
        <is>
          <t>-9dB</t>
        </is>
      </c>
      <c r="G16" s="12" t="inlineStr">
        <is>
          <t>Tiếng pop bong bóng nổ vui tai, tươi mới</t>
        </is>
      </c>
      <c r="H16" s="12" t="inlineStr">
        <is>
          <t>Hiện sticker, sticker giảm giá, icon giỏ hàng, thông báo deal hời</t>
        </is>
      </c>
    </row>
    <row r="17" ht="36" customHeight="1">
      <c r="A17" s="14" t="n">
        <v>14</v>
      </c>
      <c r="B17" s="35" t="inlineStr">
        <is>
          <t>03. CLICK HÀNH ĐỘNG &amp; TƯƠNG TÁC</t>
        </is>
      </c>
      <c r="C17" s="20" t="inlineStr">
        <is>
          <t>Sequence Click.wav</t>
        </is>
      </c>
      <c r="D17" s="11">
        <f>HYPERLINK("file:///Users/phuongpham/Downloads/TÀI NGUYÊN EDIT/02. KHO SOUND EFFECT CHỌN LỌC (WHOOSH - HIT - TING - MEME)/00 - BỘ SFX TINH GỌN (HOT NHẤT VIDEO NGẮN - 21 FILE CHUẨN)/03_click_hanh_dong/Sequence Click.wav", "▶️ Bấm Nghe Thử")</f>
        <v/>
      </c>
      <c r="E17" s="32" t="inlineStr">
        <is>
          <t>3.00s</t>
        </is>
      </c>
      <c r="F17" s="33" t="inlineStr">
        <is>
          <t>-10dB</t>
        </is>
      </c>
      <c r="G17" s="21" t="inlineStr">
        <is>
          <t>Tiếng click chuỗi liên hồi như máy đếm số</t>
        </is>
      </c>
      <c r="H17" s="21" t="inlineStr">
        <is>
          <t>Liệt kê danh sách top 3, đếm số liệu tăng vọt, lướt tin nhắn bằng chứng</t>
        </is>
      </c>
    </row>
    <row r="18" ht="36" customHeight="1">
      <c r="A18" s="4" t="n">
        <v>15</v>
      </c>
      <c r="B18" s="35" t="inlineStr">
        <is>
          <t>03. CLICK HÀNH ĐỘNG &amp; TƯƠNG TÁC</t>
        </is>
      </c>
      <c r="C18" s="10" t="inlineStr">
        <is>
          <t>Switch.wav</t>
        </is>
      </c>
      <c r="D18" s="11">
        <f>HYPERLINK("file:///Users/phuongpham/Downloads/TÀI NGUYÊN EDIT/02. KHO SOUND EFFECT CHỌN LỌC (WHOOSH - HIT - TING - MEME)/00 - BỘ SFX TINH GỌN (HOT NHẤT VIDEO NGẮN - 21 FILE CHUẨN)/03_click_hanh_dong/Switch.wav", "▶️ Bấm Nghe Thử")</f>
        <v/>
      </c>
      <c r="E18" s="30" t="inlineStr">
        <is>
          <t>0.33s</t>
        </is>
      </c>
      <c r="F18" s="31" t="inlineStr">
        <is>
          <t>-10dB</t>
        </is>
      </c>
      <c r="G18" s="12" t="inlineStr">
        <is>
          <t>Tiếng bật công tắc cơ dứt khoát siêu ngắn</t>
        </is>
      </c>
      <c r="H18" s="12" t="inlineStr">
        <is>
          <t>Bật/tắt chế độ, biến hình Before/After, chọn phương án A/B</t>
        </is>
      </c>
    </row>
    <row r="19" ht="36" customHeight="1">
      <c r="A19" s="14" t="n">
        <v>16</v>
      </c>
      <c r="B19" s="35" t="inlineStr">
        <is>
          <t>03. CLICK HÀNH ĐỘNG &amp; TƯƠNG TÁC</t>
        </is>
      </c>
      <c r="C19" s="20" t="inlineStr">
        <is>
          <t>Touch Screen Click.wav</t>
        </is>
      </c>
      <c r="D19" s="11">
        <f>HYPERLINK("file:///Users/phuongpham/Downloads/TÀI NGUYÊN EDIT/02. KHO SOUND EFFECT CHỌN LỌC (WHOOSH - HIT - TING - MEME)/00 - BỘ SFX TINH GỌN (HOT NHẤT VIDEO NGẮN - 21 FILE CHUẨN)/03_click_hanh_dong/Touch Screen Click.wav", "▶️ Bấm Nghe Thử")</f>
        <v/>
      </c>
      <c r="E19" s="32" t="inlineStr">
        <is>
          <t>2.50s</t>
        </is>
      </c>
      <c r="F19" s="33" t="inlineStr">
        <is>
          <t>-10dB</t>
        </is>
      </c>
      <c r="G19" s="21" t="inlineStr">
        <is>
          <t>Tiếng chạm ngón tay gõ màn hình cảm ứng</t>
        </is>
      </c>
      <c r="H19" s="21" t="inlineStr">
        <is>
          <t>Kêu gọi đặt bàn, hướng dẫn click link bio, tải app, tương tác giao diện app</t>
        </is>
      </c>
    </row>
    <row r="20" ht="36" customHeight="1">
      <c r="A20" s="4" t="n">
        <v>17</v>
      </c>
      <c r="B20" s="36" t="inlineStr">
        <is>
          <t>04. RISER TĂNG KỊCH TÍNH</t>
        </is>
      </c>
      <c r="C20" s="10" t="inlineStr">
        <is>
          <t>Riser 1.wav</t>
        </is>
      </c>
      <c r="D20" s="11">
        <f>HYPERLINK("file:///Users/phuongpham/Downloads/TÀI NGUYÊN EDIT/02. KHO SOUND EFFECT CHỌN LỌC (WHOOSH - HIT - TING - MEME)/00 - BỘ SFX TINH GỌN (HOT NHẤT VIDEO NGẮN - 21 FILE CHUẨN)/04_riser_kich_tinh/Riser 1.wav", "▶️ Bấm Nghe Thử")</f>
        <v/>
      </c>
      <c r="E20" s="30" t="inlineStr">
        <is>
          <t>9.43s</t>
        </is>
      </c>
      <c r="F20" s="31" t="inlineStr">
        <is>
          <t>Tăng dần -18dB -&gt; -5dB</t>
        </is>
      </c>
      <c r="G20" s="12" t="inlineStr">
        <is>
          <t>Dải tần số kéo dài dồn dập, đẩy nhịp tim lên cao trào</t>
        </is>
      </c>
      <c r="H20" s="12" t="inlineStr">
        <is>
          <t>Đếm ngược đến sự thật, chuẩn bị tiết lộ trùm cuối drama, kịch tính nghẹt thở</t>
        </is>
      </c>
    </row>
    <row r="21" ht="36" customHeight="1">
      <c r="A21" s="14" t="n">
        <v>18</v>
      </c>
      <c r="B21" s="36" t="inlineStr">
        <is>
          <t>04. RISER TĂNG KỊCH TÍNH</t>
        </is>
      </c>
      <c r="C21" s="20" t="inlineStr">
        <is>
          <t>Riser 2.wav</t>
        </is>
      </c>
      <c r="D21" s="11">
        <f>HYPERLINK("file:///Users/phuongpham/Downloads/TÀI NGUYÊN EDIT/02. KHO SOUND EFFECT CHỌN LỌC (WHOOSH - HIT - TING - MEME)/00 - BỘ SFX TINH GỌN (HOT NHẤT VIDEO NGẮN - 21 FILE CHUẨN)/04_riser_kich_tinh/Riser 2.wav", "▶️ Bấm Nghe Thử")</f>
        <v/>
      </c>
      <c r="E21" s="32" t="inlineStr">
        <is>
          <t>6.13s</t>
        </is>
      </c>
      <c r="F21" s="33" t="inlineStr">
        <is>
          <t>Tăng dần -18dB -&gt; -5dB</t>
        </is>
      </c>
      <c r="G21" s="21" t="inlineStr">
        <is>
          <t>Riser độ dài trung bình, âm thanh ma mị bí ẩn</t>
        </is>
      </c>
      <c r="H21" s="21" t="inlineStr">
        <is>
          <t>Khoảnh khắc gay cấn, cảnh báo rủi ro sắp ập tới, bí mật chuẩn bị bật mí</t>
        </is>
      </c>
    </row>
    <row r="22" ht="36" customHeight="1">
      <c r="A22" s="4" t="n">
        <v>19</v>
      </c>
      <c r="B22" s="36" t="inlineStr">
        <is>
          <t>04. RISER TĂNG KỊCH TÍNH</t>
        </is>
      </c>
      <c r="C22" s="10" t="inlineStr">
        <is>
          <t>Riser 3.wav</t>
        </is>
      </c>
      <c r="D22" s="11">
        <f>HYPERLINK("file:///Users/phuongpham/Downloads/TÀI NGUYÊN EDIT/02. KHO SOUND EFFECT CHỌN LỌC (WHOOSH - HIT - TING - MEME)/00 - BỘ SFX TINH GỌN (HOT NHẤT VIDEO NGẮN - 21 FILE CHUẨN)/04_riser_kich_tinh/Riser 3.wav", "▶️ Bấm Nghe Thử")</f>
        <v/>
      </c>
      <c r="E22" s="30" t="inlineStr">
        <is>
          <t>8.00s</t>
        </is>
      </c>
      <c r="F22" s="31" t="inlineStr">
        <is>
          <t>Tăng dần -18dB -&gt; -5dB</t>
        </is>
      </c>
      <c r="G22" s="12" t="inlineStr">
        <is>
          <t>Riser phong cách phim trinh thám Hollywood</t>
        </is>
      </c>
      <c r="H22" s="12" t="inlineStr">
        <is>
          <t>Vạch trần thủ đoạn lừa đảo, điều tra chân tướng, khoảnh khắc định đoạt</t>
        </is>
      </c>
    </row>
    <row r="23" ht="36" customHeight="1">
      <c r="A23" s="14" t="n">
        <v>20</v>
      </c>
      <c r="B23" s="37" t="inlineStr">
        <is>
          <t>05. GLITCH &amp; MEME BẤT NGỜ</t>
        </is>
      </c>
      <c r="C23" s="20" t="inlineStr">
        <is>
          <t>ding.wav</t>
        </is>
      </c>
      <c r="D23" s="11">
        <f>HYPERLINK("file:///Users/phuongpham/Downloads/TÀI NGUYÊN EDIT/02. KHO SOUND EFFECT CHỌN LỌC (WHOOSH - HIT - TING - MEME)/00 - BỘ SFX TINH GỌN (HOT NHẤT VIDEO NGẮN - 21 FILE CHUẨN)/05_glitch_bien_cang/ding.wav", "▶️ Bấm Nghe Thử")</f>
        <v/>
      </c>
      <c r="E23" s="32" t="inlineStr">
        <is>
          <t>1.40s</t>
        </is>
      </c>
      <c r="F23" s="33" t="inlineStr">
        <is>
          <t>-9dB</t>
        </is>
      </c>
      <c r="G23" s="21" t="inlineStr">
        <is>
          <t>Tiếng chuông ngân thanh thoát báo tin vui/ý tưởng</t>
        </is>
      </c>
      <c r="H23" s="21" t="inlineStr">
        <is>
          <t>Nảy ra ý tưởng thông minh, khoảnh khắc Aha, phát hiện tip mẹo hay, chốt đơn</t>
        </is>
      </c>
    </row>
    <row r="24" ht="36" customHeight="1">
      <c r="A24" s="4" t="n">
        <v>21</v>
      </c>
      <c r="B24" s="37" t="inlineStr">
        <is>
          <t>05. GLITCH &amp; MEME BẤT NGỜ</t>
        </is>
      </c>
      <c r="C24" s="10" t="inlineStr">
        <is>
          <t>vine-boom.wav</t>
        </is>
      </c>
      <c r="D24" s="11">
        <f>HYPERLINK("file:///Users/phuongpham/Downloads/TÀI NGUYÊN EDIT/02. KHO SOUND EFFECT CHỌN LỌC (WHOOSH - HIT - TING - MEME)/00 - BỘ SFX TINH GỌN (HOT NHẤT VIDEO NGẮN - 21 FILE CHUẨN)/05_glitch_bien_cang/vine-boom.wav", "▶️ Bấm Nghe Thử")</f>
        <v/>
      </c>
      <c r="E24" s="30" t="inlineStr">
        <is>
          <t>1.25s</t>
        </is>
      </c>
      <c r="F24" s="31" t="inlineStr">
        <is>
          <t>-4dB</t>
        </is>
      </c>
      <c r="G24" s="12" t="inlineStr">
        <is>
          <t>Tiếng BOOM huyền thoại siêu viral tạo cảm giác 'sượng trân'</t>
        </is>
      </c>
      <c r="H24" s="12" t="inlineStr">
        <is>
          <t>Cú quay xe bất ngờ, phát ngôn ngớ ngẩn, bị bóc mẽ tại trận, biến căng cực đại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5" customWidth="1" min="3" max="3"/>
  </cols>
  <sheetData>
    <row r="1" ht="40" customHeight="1">
      <c r="A1" s="38" t="inlineStr">
        <is>
          <t>📖 QUY TRÌNH CHUẨN (SOP) DỰNG VIDEO &amp; NGHỆ THUẬT HÒA ÂM SOUND EFFECT</t>
        </is>
      </c>
    </row>
    <row r="3" ht="28" customHeight="1">
      <c r="B3" s="39" t="inlineStr">
        <is>
          <t>PHẦN 1: BẢNG CHUẨN ÂM LƯỢNG (GAIN dB) TRONG CAPCUT</t>
        </is>
      </c>
    </row>
    <row r="4" ht="24" customHeight="1">
      <c r="B4" s="40" t="inlineStr">
        <is>
          <t>•</t>
        </is>
      </c>
      <c r="C4" s="41" t="inlineStr">
        <is>
          <t>1. Voice lồng tiếng chính: Đặt mức -6dB đến -3dB (Rõ ràng, không bị méo tiếng, là yếu tố to nhất).</t>
        </is>
      </c>
    </row>
    <row r="5" ht="24" customHeight="1">
      <c r="B5" s="40" t="inlineStr">
        <is>
          <t>•</t>
        </is>
      </c>
      <c r="C5" s="41" t="inlineStr">
        <is>
          <t>2. Nhạc nền (BGM): Đặt mức -18dB đến -22dB khi có giọng đọc; Tự động tăng lên -12dB ở các đoạn chuyển cảnh không có thoại (Auto Ducking).</t>
        </is>
      </c>
    </row>
    <row r="6" ht="24" customHeight="1">
      <c r="B6" s="40" t="inlineStr">
        <is>
          <t>•</t>
        </is>
      </c>
      <c r="C6" s="41" t="inlineStr">
        <is>
          <t>3. Sound Effect cú đấm/Whoosh mạnh (Whoosh Impact, vine-boom, Bass Clap): Đặt mức -4dB đến -6dB để tạo cảm giác rung chấn giật gân.</t>
        </is>
      </c>
    </row>
    <row r="7" ht="24" customHeight="1">
      <c r="B7" s="40" t="inlineStr">
        <is>
          <t>•</t>
        </is>
      </c>
      <c r="C7" s="41" t="inlineStr">
        <is>
          <t>4. Sound Effect tương tác/nhẹ (Click, Pop, Ding, Switch): Đặt mức -10dB đến -14dB để nghe tinh tế, vui tai mà không đè giọng.</t>
        </is>
      </c>
    </row>
    <row r="9" ht="28" customHeight="1">
      <c r="B9" s="39" t="inlineStr">
        <is>
          <t>PHẦN 2: NGHỆ THUẬT KHỚP NHỊP SOUND VỚI TEXT 3D</t>
        </is>
      </c>
    </row>
    <row r="10" ht="24" customHeight="1">
      <c r="B10" s="40" t="inlineStr">
        <is>
          <t>•</t>
        </is>
      </c>
      <c r="C10" s="41" t="inlineStr">
        <is>
          <t>1. Quy tắc Frame Vàng: Đỉnh sóng âm thanh (Waveform Peak cao nhất của file WAV) PHẢI NẰM ĐÚNG FRAME ĐẦU TIÊN chữ 3D xuất hiện.</t>
        </is>
      </c>
    </row>
    <row r="11" ht="24" customHeight="1">
      <c r="B11" s="40" t="inlineStr">
        <is>
          <t>•</t>
        </is>
      </c>
      <c r="C11" s="41" t="inlineStr">
        <is>
          <t>2. Đối với Whoosh chuyển cảnh: Kéo file Whoosh lấn về phía trước 3 - 5 frame (âm thanh gió rít đi trước, hình ảnh đập vào sau) để tạo cảm giác tốc độ điện ảnh.</t>
        </is>
      </c>
    </row>
    <row r="12" ht="24" customHeight="1">
      <c r="B12" s="40" t="inlineStr">
        <is>
          <t>•</t>
        </is>
      </c>
      <c r="C12" s="41" t="inlineStr">
        <is>
          <t>3. Đối với Riser kịch tính: Bắt đầu Riser trước cú twist 4 - 6 giây, đỉnh điểm Riser đứt phựt ngay tại khoảnh khắc bí mật được lật mở.</t>
        </is>
      </c>
    </row>
    <row r="14" ht="28" customHeight="1">
      <c r="B14" s="39" t="inlineStr">
        <is>
          <t>PHẦN 3: QUY TRÌNH 4 BƯỚC BỐC TEXT &amp; SOUND VÀO DỰ ÁN</t>
        </is>
      </c>
    </row>
    <row r="15" ht="24" customHeight="1">
      <c r="B15" s="40" t="inlineStr">
        <is>
          <t>•</t>
        </is>
      </c>
      <c r="C15" s="41" t="inlineStr">
        <is>
          <t>Bước 1: Tra cứu Bảng Sheet 1 để chọn Mã Style Text (VD: [ĐỎ DRAMA]) và Sound Effect (vine-boom.wav).</t>
        </is>
      </c>
    </row>
    <row r="16" ht="24" customHeight="1">
      <c r="B16" s="40" t="inlineStr">
        <is>
          <t>•</t>
        </is>
      </c>
      <c r="C16" s="41" t="inlineStr">
        <is>
          <t>Bước 2: Trong dự án CapCut đang dựng -&gt; Vào 'Media' -&gt; chọn 'Subprojects' -&gt; kéo khối chữ 3D xuống Timeline.</t>
        </is>
      </c>
    </row>
    <row r="17" ht="24" customHeight="1">
      <c r="B17" s="40" t="inlineStr">
        <is>
          <t>•</t>
        </is>
      </c>
      <c r="C17" s="41" t="inlineStr">
        <is>
          <t>Bước 3: Nhấp đúp chuột (Double-click) vào khối clip ghép để vào trong sửa chữ theo kịch bản (TUYỆT ĐỐI KHÔNG TÁCH RA).</t>
        </is>
      </c>
    </row>
    <row r="18" ht="24" customHeight="1">
      <c r="B18" s="40" t="inlineStr">
        <is>
          <t>•</t>
        </is>
      </c>
      <c r="C18" s="41" t="inlineStr">
        <is>
          <t>Bước 4: Kéo file Sound Effect từ thư mục '02. KHO SOUND EFFECT CHỌN LỌC' đặt ngay dưới chân khối Text 3D, căn đỉnh sóng khớp frame đầu.</t>
        </is>
      </c>
    </row>
    <row r="20" ht="28" customHeight="1">
      <c r="B20" s="39" t="inlineStr">
        <is>
          <t>PHẦN 4: 3 NGUYÊN TẮC VÀNG TRÁNH LỖI PHỔ BIẾN</t>
        </is>
      </c>
    </row>
    <row r="21" ht="24" customHeight="1">
      <c r="B21" s="40" t="inlineStr">
        <is>
          <t>•</t>
        </is>
      </c>
      <c r="C21" s="41" t="inlineStr">
        <is>
          <t>1. Không lạm dụng: Video 30-45 giây chỉ nên xuất hiện 2 - 3 lần Text 3D kèm Sound Effect (Hook mở đầu, Cao trào giữa video, Kêu gọi CTA cuối video).</t>
        </is>
      </c>
    </row>
    <row r="22" ht="24" customHeight="1">
      <c r="B22" s="40" t="inlineStr">
        <is>
          <t>•</t>
        </is>
      </c>
      <c r="C22" s="41" t="inlineStr">
        <is>
          <t>2. Luôn làm Fade-out nhẹ (0.1s - 0.2s) ở đuôi file Sound Effect để tránh tiếng 'bụp' khó chịu khi âm thanh kết thúc đột ngột.</t>
        </is>
      </c>
    </row>
    <row r="23" ht="24" customHeight="1">
      <c r="B23" s="40" t="inlineStr">
        <is>
          <t>•</t>
        </is>
      </c>
      <c r="C23" s="41" t="inlineStr">
        <is>
          <t>3. Không chồng 2 sound effect tần số trầm (Bass) cùng 1 lúc vì sẽ làm vỡ loa điện thoại người xem.</t>
        </is>
      </c>
    </row>
  </sheetData>
  <mergeCells count="5">
    <mergeCell ref="A1:G1"/>
    <mergeCell ref="B3:C3"/>
    <mergeCell ref="B20:C20"/>
    <mergeCell ref="B14:C14"/>
    <mergeCell ref="B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20" customWidth="1" min="4" max="4"/>
    <col width="22" customWidth="1" min="5" max="5"/>
    <col width="14" customWidth="1" min="6" max="6"/>
    <col width="45" customWidth="1" min="7" max="7"/>
    <col width="35" customWidth="1" min="8" max="8"/>
    <col width="25" customWidth="1" min="9" max="9"/>
    <col width="18" customWidth="1" min="10" max="10"/>
  </cols>
  <sheetData>
    <row r="1" ht="40" customHeight="1">
      <c r="A1" s="27" t="inlineStr">
        <is>
          <t>🎶 KHO 119 BÀI NHẠC NỀN VIRAL TIKTOK ĐÃ PHÂN LOẠI (7 THỂ LOẠI CHUẨN)</t>
        </is>
      </c>
    </row>
    <row r="2" ht="25" customHeight="1">
      <c r="A2" s="42" t="inlineStr">
        <is>
          <t>Bấm trực tiếp vào cột '🔊 NGHE THỬ' để phát âm thanh | 7 nhóm cảm xúc video ngắn chuẩn hoá cho CapCut &amp; Premiere</t>
        </is>
      </c>
    </row>
    <row r="3" ht="30" customHeight="1">
      <c r="A3" s="43" t="inlineStr">
        <is>
          <t>STT</t>
        </is>
      </c>
      <c r="B3" s="43" t="inlineStr">
        <is>
          <t>CHUYÊN MỤC / THỂ LOẠI</t>
        </is>
      </c>
      <c r="C3" s="43" t="inlineStr">
        <is>
          <t>TÊN SOUND / BÀI HÁT</t>
        </is>
      </c>
      <c r="D3" s="43" t="inlineStr">
        <is>
          <t>🔊 NGHE THỬ (CLICK)</t>
        </is>
      </c>
      <c r="E3" s="43" t="inlineStr">
        <is>
          <t>TÁC GIẢ / KÊNH</t>
        </is>
      </c>
      <c r="F3" s="43" t="inlineStr">
        <is>
          <t>THỜI LƯỢNG</t>
        </is>
      </c>
      <c r="G3" s="43" t="inlineStr">
        <is>
          <t>ĐỊNH DẠNG VIDEO PHÙ HỢP &amp; BỐI CẢNH DỰNG</t>
        </is>
      </c>
      <c r="H3" s="43" t="inlineStr">
        <is>
          <t>TÊN FILE MP3</t>
        </is>
      </c>
      <c r="I3" s="43" t="inlineStr">
        <is>
          <t>LỆNH GỌI CLI (--nhac)</t>
        </is>
      </c>
      <c r="J3" s="43" t="inlineStr">
        <is>
          <t>LINK TIKTOK GỐC</t>
        </is>
      </c>
    </row>
    <row r="4" ht="24" customHeight="1">
      <c r="A4" s="44" t="n">
        <v>1</v>
      </c>
      <c r="B4" s="45" t="inlineStr">
        <is>
          <t>Tin Tức Giật Gân Căng Thẳng</t>
        </is>
      </c>
      <c r="C4" s="46" t="inlineStr">
        <is>
          <t>Badtrip</t>
        </is>
      </c>
      <c r="D4" s="47">
        <f>HYPERLINK("file:///Users/phuongpham/Downloads/Tool/TÀI NGUYÊN EDIT/04. KHO NHẠC NỀN ĐÃ PHÂN LOẠI (7 THỂ LOẠI VIRAL TIKTOK)/01. Tin Tức Giật Gân &amp; Căng Thẳng (11 Bài)/Badtrip [969490].mp3", "▶️ Bấm Nghe Thử")</f>
        <v/>
      </c>
      <c r="E4" s="45" t="inlineStr">
        <is>
          <t>RPT MCK</t>
        </is>
      </c>
      <c r="F4" s="44" t="inlineStr">
        <is>
          <t>28s</t>
        </is>
      </c>
      <c r="G4" s="45" t="inlineStr">
        <is>
          <t>Tin nóng 24h, cảnh báo lừa đảo, bóc phốt, drama dồn dập</t>
        </is>
      </c>
      <c r="H4" s="48" t="inlineStr">
        <is>
          <t>Badtrip [969490].mp3</t>
        </is>
      </c>
      <c r="I4" s="49" t="inlineStr">
        <is>
          <t>--nhac "Badtrip"</t>
        </is>
      </c>
      <c r="J4" s="50">
        <f>HYPERLINK("https://www.tiktok.com/@scienceworld61/video/7569944879048969490", "🔗 Link TikTok")</f>
        <v/>
      </c>
    </row>
    <row r="5" ht="24" customHeight="1">
      <c r="A5" s="51" t="n">
        <v>2</v>
      </c>
      <c r="B5" s="52" t="inlineStr">
        <is>
          <t>Tin Tức Giật Gân Căng Thẳng</t>
        </is>
      </c>
      <c r="C5" s="53" t="inlineStr">
        <is>
          <t>Blood Theme (From Dexter )</t>
        </is>
      </c>
      <c r="D5" s="54">
        <f>HYPERLINK("file:///Users/phuongpham/Downloads/Tool/TÀI NGUYÊN EDIT/04. KHO NHẠC NỀN ĐÃ PHÂN LOẠI (7 THỂ LOẠI VIRAL TIKTOK)/01. Tin Tức Giật Gân &amp; Căng Thẳng (11 Bài)/Blood Theme (From Dexter ) [119496].mp3", "▶️ Bấm Nghe Thử")</f>
        <v/>
      </c>
      <c r="E5" s="52" t="inlineStr">
        <is>
          <t>Carlos Marquez</t>
        </is>
      </c>
      <c r="F5" s="51" t="inlineStr">
        <is>
          <t>13s</t>
        </is>
      </c>
      <c r="G5" s="52" t="inlineStr">
        <is>
          <t>Tin nóng 24h, cảnh báo lừa đảo, bóc phốt, drama dồn dập</t>
        </is>
      </c>
      <c r="H5" s="55" t="inlineStr">
        <is>
          <t>Blood Theme (From Dexter ) [119496].mp3</t>
        </is>
      </c>
      <c r="I5" s="56" t="inlineStr">
        <is>
          <t>--nhac "Blood Theme (From Dexter )"</t>
        </is>
      </c>
      <c r="J5" s="57">
        <f>HYPERLINK("https://www.tiktok.com/@endra4789/video/7550839964641119496", "🔗 Link TikTok")</f>
        <v/>
      </c>
    </row>
    <row r="6" ht="24" customHeight="1">
      <c r="A6" s="44" t="n">
        <v>3</v>
      </c>
      <c r="B6" s="45" t="inlineStr">
        <is>
          <t>Tin Tức Giật Gân Căng Thẳng</t>
        </is>
      </c>
      <c r="C6" s="46" t="inlineStr">
        <is>
          <t>Dizzy prod me</t>
        </is>
      </c>
      <c r="D6" s="47">
        <f>HYPERLINK("file:///Users/phuongpham/Downloads/Tool/TÀI NGUYÊN EDIT/04. KHO NHẠC NỀN ĐÃ PHÂN LOẠI (7 THỂ LOẠI VIRAL TIKTOK)/01. Tin Tức Giật Gân &amp; Căng Thẳng (11 Bài)/Dizzy prod me [171487].mp3", "▶️ Bấm Nghe Thử")</f>
        <v/>
      </c>
      <c r="E6" s="45" t="inlineStr">
        <is>
          <t>CrayzMadeIt</t>
        </is>
      </c>
      <c r="F6" s="44" t="inlineStr">
        <is>
          <t>7s</t>
        </is>
      </c>
      <c r="G6" s="45" t="inlineStr">
        <is>
          <t>Tin nóng 24h, cảnh báo lừa đảo, bóc phốt, drama dồn dập</t>
        </is>
      </c>
      <c r="H6" s="48" t="inlineStr">
        <is>
          <t>Dizzy prod me [171487].mp3</t>
        </is>
      </c>
      <c r="I6" s="49" t="inlineStr">
        <is>
          <t>--nhac "Dizzy prod me"</t>
        </is>
      </c>
      <c r="J6" s="50">
        <f>HYPERLINK("https://www.tiktok.com/@purple.scar1/video/7532665263125171487", "🔗 Link TikTok")</f>
        <v/>
      </c>
    </row>
    <row r="7" ht="24" customHeight="1">
      <c r="A7" s="51" t="n">
        <v>4</v>
      </c>
      <c r="B7" s="52" t="inlineStr">
        <is>
          <t>Tin Tức Giật Gân Căng Thẳng</t>
        </is>
      </c>
      <c r="C7" s="53" t="inlineStr">
        <is>
          <t>Ghép Cái Nhạc Trông Nghiêm Túc Hẳn</t>
        </is>
      </c>
      <c r="D7" s="54">
        <f>HYPERLINK("file:///Users/phuongpham/Downloads/Tool/TÀI NGUYÊN EDIT/04. KHO NHẠC NỀN ĐÃ PHÂN LOẠI (7 THỂ LOẠI VIRAL TIKTOK)/01. Tin Tức Giật Gân &amp; Căng Thẳng (11 Bài)/Ghép Cái Nhạc Trông Nghiêm Túc Hẳn [036872].mp3", "▶️ Bấm Nghe Thử")</f>
        <v/>
      </c>
      <c r="E7" s="52" t="inlineStr">
        <is>
          <t>D</t>
        </is>
      </c>
      <c r="F7" s="51" t="inlineStr">
        <is>
          <t>12s</t>
        </is>
      </c>
      <c r="G7" s="52" t="inlineStr">
        <is>
          <t>Tin nóng 24h, cảnh báo lừa đảo, bóc phốt, drama dồn dập</t>
        </is>
      </c>
      <c r="H7" s="55" t="inlineStr">
        <is>
          <t>Ghép Cái Nhạc Trông Nghiêm Túc Hẳn [036872].mp3</t>
        </is>
      </c>
      <c r="I7" s="56" t="inlineStr">
        <is>
          <t>--nhac "Ghép Cái Nhạc Trông Nghiêm Túc Hẳn"</t>
        </is>
      </c>
      <c r="J7" s="57">
        <f>HYPERLINK("https://www.tiktok.com/@hii.chauu/video/7490812502868036872", "🔗 Link TikTok")</f>
        <v/>
      </c>
    </row>
    <row r="8" ht="24" customHeight="1">
      <c r="A8" s="44" t="n">
        <v>5</v>
      </c>
      <c r="B8" s="45" t="inlineStr">
        <is>
          <t>Tin Tức Giật Gân Căng Thẳng</t>
        </is>
      </c>
      <c r="C8" s="46" t="inlineStr">
        <is>
          <t>I Can Do Anything Finale The Boys Soundtrack Epic Vibes Unleash...</t>
        </is>
      </c>
      <c r="D8" s="47">
        <f>HYPERLINK("file:///Users/phuongpham/Downloads/Tool/TÀI NGUYÊN EDIT/04. KHO NHẠC NỀN ĐÃ PHÂN LOẠI (7 THỂ LOẠI VIRAL TIKTOK)/01. Tin Tức Giật Gân &amp; Căng Thẳng (11 Bài)/I Can Do Anything Finale The Boys Soundtrack Epic Vibes Unleash... [898373].mp3", "▶️ Bấm Nghe Thử")</f>
        <v/>
      </c>
      <c r="E8" s="45" t="inlineStr">
        <is>
          <t>Viral Music Hits</t>
        </is>
      </c>
      <c r="F8" s="44" t="inlineStr">
        <is>
          <t>19s</t>
        </is>
      </c>
      <c r="G8" s="45" t="inlineStr">
        <is>
          <t>Tin nóng 24h, cảnh báo lừa đảo, bóc phốt, drama dồn dập</t>
        </is>
      </c>
      <c r="H8" s="48" t="inlineStr">
        <is>
          <t>I Can Do Anything Finale The Boys Soundtrack Epic Vibes Unleash... [898373].mp3</t>
        </is>
      </c>
      <c r="I8" s="49" t="inlineStr">
        <is>
          <t>--nhac "I Can Do Anything Finale The Boys Soundtrack Epic Vibes Unleash..."</t>
        </is>
      </c>
      <c r="J8" s="50">
        <f>HYPERLINK("https://www.tiktok.com/@viralmusichitsofficial/video/7466809975847898373", "🔗 Link TikTok")</f>
        <v/>
      </c>
    </row>
    <row r="9" ht="24" customHeight="1">
      <c r="A9" s="51" t="n">
        <v>6</v>
      </c>
      <c r="B9" s="52" t="inlineStr">
        <is>
          <t>Tin Tức Giật Gân Căng Thẳng</t>
        </is>
      </c>
      <c r="C9" s="53" t="inlineStr">
        <is>
          <t>Lucifer s Waltz</t>
        </is>
      </c>
      <c r="D9" s="54">
        <f>HYPERLINK("file:///Users/phuongpham/Downloads/Tool/TÀI NGUYÊN EDIT/04. KHO NHẠC NỀN ĐÃ PHÂN LOẠI (7 THỂ LOẠI VIRAL TIKTOK)/01. Tin Tức Giật Gân &amp; Căng Thẳng (11 Bài)/Lucifer s Waltz [075604].mp3", "▶️ Bấm Nghe Thử")</f>
        <v/>
      </c>
      <c r="E9" s="52" t="inlineStr">
        <is>
          <t>Secession Studios</t>
        </is>
      </c>
      <c r="F9" s="51" t="inlineStr">
        <is>
          <t>6s</t>
        </is>
      </c>
      <c r="G9" s="52" t="inlineStr">
        <is>
          <t>Tin nóng 24h, cảnh báo lừa đảo, bóc phốt, drama dồn dập</t>
        </is>
      </c>
      <c r="H9" s="55" t="inlineStr">
        <is>
          <t>Lucifer s Waltz [075604].mp3</t>
        </is>
      </c>
      <c r="I9" s="56" t="inlineStr">
        <is>
          <t>--nhac "Lucifer s Waltz"</t>
        </is>
      </c>
      <c r="J9" s="57">
        <f>HYPERLINK("https://www.tiktok.com/@0pyum/video/7520343942815075604", "🔗 Link TikTok")</f>
        <v/>
      </c>
    </row>
    <row r="10" ht="24" customHeight="1">
      <c r="A10" s="44" t="n">
        <v>7</v>
      </c>
      <c r="B10" s="45" t="inlineStr">
        <is>
          <t>Tin Tức Giật Gân Căng Thẳng</t>
        </is>
      </c>
      <c r="C10" s="46" t="inlineStr">
        <is>
          <t>Elab VinUni confirm là nhạc này làm mọi thứ trông</t>
        </is>
      </c>
      <c r="D10" s="47">
        <f>HYPERLINK("file:///Users/phuongpham/Downloads/Tool/TÀI NGUYÊN EDIT/04. KHO NHẠC NỀN ĐÃ PHÂN LOẠI (7 THỂ LOẠI VIRAL TIKTOK)/01. Tin Tức Giật Gân &amp; Căng Thẳng (11 Bài)/nhạc nền - Thuthuyy99 [198994].mp3", "▶️ Bấm Nghe Thử")</f>
        <v/>
      </c>
      <c r="E10" s="45" t="inlineStr">
        <is>
          <t>Thuthuyy99</t>
        </is>
      </c>
      <c r="F10" s="44" t="inlineStr">
        <is>
          <t>15s</t>
        </is>
      </c>
      <c r="G10" s="45" t="inlineStr">
        <is>
          <t>Tin nóng 24h, cảnh báo lừa đảo, bóc phốt, drama dồn dập</t>
        </is>
      </c>
      <c r="H10" s="48" t="inlineStr">
        <is>
          <t>nhạc nền - Thuthuyy99 [198994].mp3</t>
        </is>
      </c>
      <c r="I10" s="49" t="inlineStr">
        <is>
          <t>--nhac "Elab VinUni confirm là nhạc này làm mọi thứ trông"</t>
        </is>
      </c>
      <c r="J10" s="50">
        <f>HYPERLINK("https://www.tiktok.com/@elab.vinuni/video/7350876090711198994", "🔗 Link TikTok")</f>
        <v/>
      </c>
    </row>
    <row r="11" ht="24" customHeight="1">
      <c r="A11" s="51" t="n">
        <v>8</v>
      </c>
      <c r="B11" s="52" t="inlineStr">
        <is>
          <t>Tin Tức Giật Gân Căng Thẳng</t>
        </is>
      </c>
      <c r="C11" s="53" t="inlineStr">
        <is>
          <t>tense music</t>
        </is>
      </c>
      <c r="D11" s="54">
        <f>HYPERLINK("file:///Users/phuongpham/Downloads/Tool/TÀI NGUYÊN EDIT/04. KHO NHẠC NỀN ĐÃ PHÂN LOẠI (7 THỂ LOẠI VIRAL TIKTOK)/01. Tin Tức Giật Gân &amp; Căng Thẳng (11 Bài)/original sound - soundeffectsforyou [958176].mp3", "▶️ Bấm Nghe Thử")</f>
        <v/>
      </c>
      <c r="E11" s="52" t="inlineStr">
        <is>
          <t>soundeffectsforyou</t>
        </is>
      </c>
      <c r="F11" s="51" t="inlineStr">
        <is>
          <t>59s</t>
        </is>
      </c>
      <c r="G11" s="52" t="inlineStr">
        <is>
          <t>Tin nóng 24h, cảnh báo lừa đảo, bóc phốt, drama dồn dập</t>
        </is>
      </c>
      <c r="H11" s="55" t="inlineStr">
        <is>
          <t>original sound - soundeffectsforyou [958176].mp3</t>
        </is>
      </c>
      <c r="I11" s="56" t="inlineStr">
        <is>
          <t>--nhac "tense music"</t>
        </is>
      </c>
      <c r="J11" s="57">
        <f>HYPERLINK("https://www.tiktok.com/@soundeffectsforyou/video/7301079535921958176", "🔗 Link TikTok")</f>
        <v/>
      </c>
    </row>
    <row r="12" ht="24" customHeight="1">
      <c r="A12" s="44" t="n">
        <v>9</v>
      </c>
      <c r="B12" s="45" t="inlineStr">
        <is>
          <t>Tin Tức Giật Gân Căng Thẳng</t>
        </is>
      </c>
      <c r="C12" s="46" t="inlineStr">
        <is>
          <t>Golden Dragons Philharmonic Orchestra - Thunderfor</t>
        </is>
      </c>
      <c r="D12" s="47">
        <f>HYPERLINK("file:///Users/phuongpham/Downloads/Tool/TÀI NGUYÊN EDIT/04. KHO NHẠC NỀN ĐÃ PHÂN LOẠI (7 THỂ LOẠI VIRAL TIKTOK)/01. Tin Tức Giật Gân &amp; Căng Thẳng (11 Bài)/som original - GoldenDragonsEpic [820564].mp3", "▶️ Bấm Nghe Thử")</f>
        <v/>
      </c>
      <c r="E12" s="45" t="inlineStr">
        <is>
          <t>GoldenDragonsEpic</t>
        </is>
      </c>
      <c r="F12" s="44" t="inlineStr">
        <is>
          <t>246s</t>
        </is>
      </c>
      <c r="G12" s="45" t="inlineStr">
        <is>
          <t>Tin nóng 24h, cảnh báo lừa đảo, bóc phốt, drama dồn dập</t>
        </is>
      </c>
      <c r="H12" s="48" t="inlineStr">
        <is>
          <t>som original - GoldenDragonsEpic [820564].mp3</t>
        </is>
      </c>
      <c r="I12" s="49" t="inlineStr">
        <is>
          <t>--nhac "Golden Dragons Philharmonic Orchestra - Thunderfor"</t>
        </is>
      </c>
      <c r="J12" s="50">
        <f>HYPERLINK("https://www.tiktok.com/@goldendragonsepic/video/7632721381351820564", "🔗 Link TikTok")</f>
        <v/>
      </c>
    </row>
    <row r="13" ht="24" customHeight="1">
      <c r="A13" s="51" t="n">
        <v>10</v>
      </c>
      <c r="B13" s="52" t="inlineStr">
        <is>
          <t>Tin Tức Giật Gân Căng Thẳng</t>
        </is>
      </c>
      <c r="C13" s="53" t="inlineStr">
        <is>
          <t>Epic Neoclassic Trailer Music</t>
        </is>
      </c>
      <c r="D13" s="54">
        <f>HYPERLINK("file:///Users/phuongpham/Downloads/Tool/TÀI NGUYÊN EDIT/04. KHO NHẠC NỀN ĐÃ PHÂN LOẠI (7 THỂ LOẠI VIRAL TIKTOK)/01. Tin Tức Giật Gân &amp; Căng Thẳng (11 Bài)/оригинальный звук [564230].mp3", "▶️ Bấm Nghe Thử")</f>
        <v/>
      </c>
      <c r="E13" s="52" t="inlineStr">
        <is>
          <t>Alex</t>
        </is>
      </c>
      <c r="F13" s="51" t="inlineStr">
        <is>
          <t>66s</t>
        </is>
      </c>
      <c r="G13" s="52" t="inlineStr">
        <is>
          <t>Tin nóng 24h, cảnh báo lừa đảo, bóc phốt, drama dồn dập</t>
        </is>
      </c>
      <c r="H13" s="55" t="inlineStr">
        <is>
          <t>оригинальный звук [564230].mp3</t>
        </is>
      </c>
      <c r="I13" s="56" t="inlineStr">
        <is>
          <t>--nhac "Epic Neoclassic Trailer Music"</t>
        </is>
      </c>
      <c r="J13" s="57">
        <f>HYPERLINK("https://www.tiktok.com/@silversunmusic/video/7097498292132564230", "🔗 Link TikTok")</f>
        <v/>
      </c>
    </row>
    <row r="14" ht="24" customHeight="1">
      <c r="A14" s="44" t="n">
        <v>11</v>
      </c>
      <c r="B14" s="45" t="inlineStr">
        <is>
          <t>Tin Tức Giật Gân Căng Thẳng</t>
        </is>
      </c>
      <c r="C14" s="46" t="inlineStr">
        <is>
          <t>Forest fire  No Copyright Music for Dramatic   Epi</t>
        </is>
      </c>
      <c r="D14" s="47">
        <f>HYPERLINK("file:///Users/phuongpham/Downloads/Tool/TÀI NGUYÊN EDIT/04. KHO NHẠC NỀN ĐÃ PHÂN LOẠI (7 THỂ LOẠI VIRAL TIKTOK)/01. Tin Tức Giật Gân &amp; Căng Thẳng (11 Bài)/오리지널 사운드 - chostomic [756673].mp3", "▶️ Bấm Nghe Thử")</f>
        <v/>
      </c>
      <c r="E14" s="45" t="inlineStr">
        <is>
          <t>chostomic</t>
        </is>
      </c>
      <c r="F14" s="44" t="inlineStr">
        <is>
          <t>183s</t>
        </is>
      </c>
      <c r="G14" s="45" t="inlineStr">
        <is>
          <t>Tin nóng 24h, cảnh báo lừa đảo, bóc phốt, drama dồn dập</t>
        </is>
      </c>
      <c r="H14" s="48" t="inlineStr">
        <is>
          <t>오리지널 사운드 - chostomic [756673].mp3</t>
        </is>
      </c>
      <c r="I14" s="49" t="inlineStr">
        <is>
          <t>--nhac "Forest fire  No Copyright Music for Dramatic   Epi"</t>
        </is>
      </c>
      <c r="J14" s="50">
        <f>HYPERLINK("https://www.tiktok.com/@chostomic/video/7490018387997756673", "🔗 Link TikTok")</f>
        <v/>
      </c>
    </row>
    <row r="15" ht="24" customHeight="1">
      <c r="A15" s="51" t="n">
        <v>12</v>
      </c>
      <c r="B15" s="52" t="inlineStr">
        <is>
          <t>Vinh Danh &amp; Hào Hùng</t>
        </is>
      </c>
      <c r="C15" s="53" t="inlineStr">
        <is>
          <t>Star Sky</t>
        </is>
      </c>
      <c r="D15" s="54">
        <f>HYPERLINK("file:///Users/phuongpham/Downloads/Tool/TÀI NGUYÊN EDIT/04. KHO NHẠC NỀN ĐÃ PHÂN LOẠI (7 THỂ LOẠI VIRAL TIKTOK)/02. Vinh Danh &amp; Hào Hùng (14 Bài)/Star Sky [486919].mp3", "▶️ Bấm Nghe Thử")</f>
        <v/>
      </c>
      <c r="E15" s="52" t="inlineStr">
        <is>
          <t>Two Steps From Hell, Thomas Bergersen</t>
        </is>
      </c>
      <c r="F15" s="51" t="inlineStr">
        <is>
          <t>60s</t>
        </is>
      </c>
      <c r="G15" s="52" t="inlineStr">
        <is>
          <t>Tin chiến thắng, người tốt việc tốt, tự hào Việt Nam, thành tựu lớn</t>
        </is>
      </c>
      <c r="H15" s="55" t="inlineStr">
        <is>
          <t>Star Sky [486919].mp3</t>
        </is>
      </c>
      <c r="I15" s="56" t="inlineStr">
        <is>
          <t>--nhac "Star Sky"</t>
        </is>
      </c>
      <c r="J15" s="57">
        <f>HYPERLINK("https://www.tiktok.com/@05th_ng28/video/7516035574172486919", "🔗 Link TikTok")</f>
        <v/>
      </c>
    </row>
    <row r="16" ht="24" customHeight="1">
      <c r="A16" s="44" t="n">
        <v>13</v>
      </c>
      <c r="B16" s="45" t="inlineStr">
        <is>
          <t>Vinh Danh &amp; Hào Hùng</t>
        </is>
      </c>
      <c r="C16" s="46" t="inlineStr">
        <is>
          <t>Thịnh Vượng Việt Nam Sáng Ngời</t>
        </is>
      </c>
      <c r="D16" s="47">
        <f>HYPERLINK("file:///Users/phuongpham/Downloads/Tool/TÀI NGUYÊN EDIT/04. KHO NHẠC NỀN ĐÃ PHÂN LOẠI (7 THỂ LOẠI VIRAL TIKTOK)/02. Vinh Danh &amp; Hào Hùng (14 Bài)/Thịnh Vượng Việt Nam Sáng Ngời [838356].mp3", "▶️ Bấm Nghe Thử")</f>
        <v/>
      </c>
      <c r="E16" s="45" t="inlineStr">
        <is>
          <t>Trường Linh Bùi</t>
        </is>
      </c>
      <c r="F16" s="44" t="inlineStr">
        <is>
          <t>33s</t>
        </is>
      </c>
      <c r="G16" s="45" t="inlineStr">
        <is>
          <t>Tin chiến thắng, người tốt việc tốt, tự hào Việt Nam, thành tựu lớn</t>
        </is>
      </c>
      <c r="H16" s="48" t="inlineStr">
        <is>
          <t>Thịnh Vượng Việt Nam Sáng Ngời [838356].mp3</t>
        </is>
      </c>
      <c r="I16" s="49" t="inlineStr">
        <is>
          <t>--nhac "Thịnh Vượng Việt Nam Sáng Ngời"</t>
        </is>
      </c>
      <c r="J16" s="50">
        <f>HYPERLINK("https://www.tiktok.com/@_be.xiu.scrp/video/7680224275713838356", "🔗 Link TikTok")</f>
        <v/>
      </c>
    </row>
    <row r="17" ht="24" customHeight="1">
      <c r="A17" s="51" t="n">
        <v>14</v>
      </c>
      <c r="B17" s="52" t="inlineStr">
        <is>
          <t>Vinh Danh &amp; Hào Hùng</t>
        </is>
      </c>
      <c r="C17" s="53" t="inlineStr">
        <is>
          <t>Có một Việt Nam như thế</t>
        </is>
      </c>
      <c r="D17" s="54">
        <f>HYPERLINK("file:///Users/phuongpham/Downloads/Tool/TÀI NGUYÊN EDIT/04. KHO NHẠC NỀN ĐÃ PHÂN LOẠI (7 THỂ LOẠI VIRAL TIKTOK)/02. Vinh Danh &amp; Hào Hùng (14 Bài)/nhạc nền - CAPCUT [226450].mp3", "▶️ Bấm Nghe Thử")</f>
        <v/>
      </c>
      <c r="E17" s="52" t="inlineStr">
        <is>
          <t>CAPCUT 🍀</t>
        </is>
      </c>
      <c r="F17" s="51" t="inlineStr">
        <is>
          <t>24s</t>
        </is>
      </c>
      <c r="G17" s="52" t="inlineStr">
        <is>
          <t>Tin chiến thắng, người tốt việc tốt, tự hào Việt Nam, thành tựu lớn</t>
        </is>
      </c>
      <c r="H17" s="55" t="inlineStr">
        <is>
          <t>nhạc nền - CAPCUT [226450].mp3</t>
        </is>
      </c>
      <c r="I17" s="56" t="inlineStr">
        <is>
          <t>--nhac "Có một Việt Nam như thế"</t>
        </is>
      </c>
      <c r="J17" s="57">
        <f>HYPERLINK("https://www.tiktok.com/@capcut_oanhhy247/video/7530206745810226450", "🔗 Link TikTok")</f>
        <v/>
      </c>
    </row>
    <row r="18" ht="24" customHeight="1">
      <c r="A18" s="44" t="n">
        <v>15</v>
      </c>
      <c r="B18" s="45" t="inlineStr">
        <is>
          <t>Vinh Danh &amp; Hào Hùng</t>
        </is>
      </c>
      <c r="C18" s="46" t="inlineStr">
        <is>
          <t>Đám Cưới Như Mơ _Quang Linh</t>
        </is>
      </c>
      <c r="D18" s="47">
        <f>HYPERLINK("file:///Users/phuongpham/Downloads/Tool/TÀI NGUYÊN EDIT/04. KHO NHẠC NỀN ĐÃ PHÂN LOẠI (7 THỂ LOẠI VIRAL TIKTOK)/02. Vinh Danh &amp; Hào Hùng (14 Bài)/nhạc nền - NguyễnDuy Official [587330].mp3", "▶️ Bấm Nghe Thử")</f>
        <v/>
      </c>
      <c r="E18" s="45" t="inlineStr">
        <is>
          <t>NguyễnDuy Official</t>
        </is>
      </c>
      <c r="F18" s="44" t="inlineStr">
        <is>
          <t>80s</t>
        </is>
      </c>
      <c r="G18" s="45" t="inlineStr">
        <is>
          <t>Tin chiến thắng, người tốt việc tốt, tự hào Việt Nam, thành tựu lớn</t>
        </is>
      </c>
      <c r="H18" s="48" t="inlineStr">
        <is>
          <t>nhạc nền - NguyễnDuy Official [587330].mp3</t>
        </is>
      </c>
      <c r="I18" s="49" t="inlineStr">
        <is>
          <t>--nhac "Đám Cưới Như Mơ _Quang Linh"</t>
        </is>
      </c>
      <c r="J18" s="50">
        <f>HYPERLINK("https://www.tiktok.com/@user08211712/video/7313388644419587330", "🔗 Link TikTok")</f>
        <v/>
      </c>
    </row>
    <row r="19" ht="24" customHeight="1">
      <c r="A19" s="51" t="n">
        <v>16</v>
      </c>
      <c r="B19" s="52" t="inlineStr">
        <is>
          <t>Vinh Danh &amp; Hào Hùng</t>
        </is>
      </c>
      <c r="C19" s="53" t="inlineStr">
        <is>
          <t>Chúc mừng Faker vô địch  LEGEND NEVER DIE X WARRIO</t>
        </is>
      </c>
      <c r="D19" s="54">
        <f>HYPERLINK("file:///Users/phuongpham/Downloads/Tool/TÀI NGUYÊN EDIT/04. KHO NHẠC NỀN ĐÃ PHÂN LOẠI (7 THỂ LOẠI VIRAL TIKTOK)/02. Vinh Danh &amp; Hào Hùng (14 Bài)/nhạc nền - TINB MUSIC [521863].mp3", "▶️ Bấm Nghe Thử")</f>
        <v/>
      </c>
      <c r="E19" s="52" t="inlineStr">
        <is>
          <t>TINB MUSIC ⚜️</t>
        </is>
      </c>
      <c r="F19" s="51" t="inlineStr">
        <is>
          <t>60s</t>
        </is>
      </c>
      <c r="G19" s="52" t="inlineStr">
        <is>
          <t>Tin chiến thắng, người tốt việc tốt, tự hào Việt Nam, thành tựu lớn</t>
        </is>
      </c>
      <c r="H19" s="55" t="inlineStr">
        <is>
          <t>nhạc nền - TINB MUSIC [521863].mp3</t>
        </is>
      </c>
      <c r="I19" s="56" t="inlineStr">
        <is>
          <t>--nhac "Chúc mừng Faker vô địch  LEGEND NEVER DIE X WARRIO"</t>
        </is>
      </c>
      <c r="J19" s="57">
        <f>HYPERLINK("https://www.tiktok.com/@tinb.musix8/video/7303513822730521863", "🔗 Link TikTok")</f>
        <v/>
      </c>
    </row>
    <row r="20" ht="24" customHeight="1">
      <c r="A20" s="44" t="n">
        <v>17</v>
      </c>
      <c r="B20" s="45" t="inlineStr">
        <is>
          <t>Vinh Danh &amp; Hào Hùng</t>
        </is>
      </c>
      <c r="C20" s="46" t="inlineStr">
        <is>
          <t>Làng Trong Phố  bắt đầu từ đây</t>
        </is>
      </c>
      <c r="D20" s="47">
        <f>HYPERLINK("file:///Users/phuongpham/Downloads/Tool/TÀI NGUYÊN EDIT/04. KHO NHẠC NỀN ĐÃ PHÂN LOẠI (7 THỂ LOẠI VIRAL TIKTOK)/02. Vinh Danh &amp; Hào Hùng (14 Bài)/nhạc nền - Trần Vân [663426].mp3", "▶️ Bấm Nghe Thử")</f>
        <v/>
      </c>
      <c r="E20" s="45" t="inlineStr">
        <is>
          <t>Trần Vân</t>
        </is>
      </c>
      <c r="F20" s="44" t="inlineStr">
        <is>
          <t>43s</t>
        </is>
      </c>
      <c r="G20" s="45" t="inlineStr">
        <is>
          <t>Tin chiến thắng, người tốt việc tốt, tự hào Việt Nam, thành tựu lớn</t>
        </is>
      </c>
      <c r="H20" s="48" t="inlineStr">
        <is>
          <t>nhạc nền - Trần Vân [663426].mp3</t>
        </is>
      </c>
      <c r="I20" s="49" t="inlineStr">
        <is>
          <t>--nhac "Làng Trong Phố  bắt đầu từ đây"</t>
        </is>
      </c>
      <c r="J20" s="50">
        <f>HYPERLINK("https://www.tiktok.com/@vansat97/video/7263305123206663426", "🔗 Link TikTok")</f>
        <v/>
      </c>
    </row>
    <row r="21" ht="24" customHeight="1">
      <c r="A21" s="51" t="n">
        <v>18</v>
      </c>
      <c r="B21" s="52" t="inlineStr">
        <is>
          <t>Vinh Danh &amp; Hào Hùng</t>
        </is>
      </c>
      <c r="C21" s="53" t="inlineStr">
        <is>
          <t>bóng đất nước hình như bóng dáng bao người...</t>
        </is>
      </c>
      <c r="D21" s="54">
        <f>HYPERLINK("file:///Users/phuongpham/Downloads/Tool/TÀI NGUYÊN EDIT/04. KHO NHẠC NỀN ĐÃ PHÂN LOẠI (7 THỂ LOẠI VIRAL TIKTOK)/02. Vinh Danh &amp; Hào Hùng (14 Bài)/nhạc nền - VTV SHOWS [182344].mp3", "▶️ Bấm Nghe Thử")</f>
        <v/>
      </c>
      <c r="E21" s="52" t="inlineStr">
        <is>
          <t>VTV SHOWS</t>
        </is>
      </c>
      <c r="F21" s="51" t="inlineStr">
        <is>
          <t>52s</t>
        </is>
      </c>
      <c r="G21" s="52" t="inlineStr">
        <is>
          <t>Tin chiến thắng, người tốt việc tốt, tự hào Việt Nam, thành tựu lớn</t>
        </is>
      </c>
      <c r="H21" s="55" t="inlineStr">
        <is>
          <t>nhạc nền - VTV SHOWS [182344].mp3</t>
        </is>
      </c>
      <c r="I21" s="56" t="inlineStr">
        <is>
          <t>--nhac "bóng đất nước hình như bóng dáng bao người..."</t>
        </is>
      </c>
      <c r="J21" s="57">
        <f>HYPERLINK("https://www.tiktok.com/@lgv_langkinhlg1/video/7447017524283182344", "🔗 Link TikTok")</f>
        <v/>
      </c>
    </row>
    <row r="22" ht="24" customHeight="1">
      <c r="A22" s="44" t="n">
        <v>19</v>
      </c>
      <c r="B22" s="45" t="inlineStr">
        <is>
          <t>Vinh Danh &amp; Hào Hùng</t>
        </is>
      </c>
      <c r="C22" s="46" t="inlineStr">
        <is>
          <t>Thương người dân, thương người con, thương Việt Na</t>
        </is>
      </c>
      <c r="D22" s="47">
        <f>HYPERLINK("file:///Users/phuongpham/Downloads/Tool/TÀI NGUYÊN EDIT/04. KHO NHẠC NỀN ĐÃ PHÂN LOẠI (7 THỂ LOẠI VIRAL TIKTOK)/02. Vinh Danh &amp; Hào Hùng (14 Bài)/nhạc nền - 𝑩𝒂 𝒏 𝑵𝒉𝒂 𝒄 𝑺𝒖𝒚 [174088].mp3", "▶️ Bấm Nghe Thử")</f>
        <v/>
      </c>
      <c r="E22" s="45" t="inlineStr">
        <is>
          <t>🎶 𝑩𝒂̉𝒏 𝑵𝒉𝒂̣𝒄 𝑺𝒖𝒚 🎶</t>
        </is>
      </c>
      <c r="F22" s="44" t="inlineStr">
        <is>
          <t>60s</t>
        </is>
      </c>
      <c r="G22" s="45" t="inlineStr">
        <is>
          <t>Tin chiến thắng, người tốt việc tốt, tự hào Việt Nam, thành tựu lớn</t>
        </is>
      </c>
      <c r="H22" s="48" t="inlineStr">
        <is>
          <t>nhạc nền - 𝑩𝒂 𝒏 𝑵𝒉𝒂 𝒄 𝑺𝒖𝒚 [174088].mp3</t>
        </is>
      </c>
      <c r="I22" s="49" t="inlineStr">
        <is>
          <t>--nhac "Thương người dân, thương người con, thương Việt Na"</t>
        </is>
      </c>
      <c r="J22" s="50">
        <f>HYPERLINK("https://www.tiktok.com/@ban_nhac_suy/video/7499073481972174088", "🔗 Link TikTok")</f>
        <v/>
      </c>
    </row>
    <row r="23" ht="24" customHeight="1">
      <c r="A23" s="51" t="n">
        <v>20</v>
      </c>
      <c r="B23" s="52" t="inlineStr">
        <is>
          <t>Vinh Danh &amp; Hào Hùng</t>
        </is>
      </c>
      <c r="C23" s="53" t="inlineStr">
        <is>
          <t>Majestic background music sound. Triumphant majest</t>
        </is>
      </c>
      <c r="D23" s="54">
        <f>HYPERLINK("file:///Users/phuongpham/Downloads/Tool/TÀI NGUYÊN EDIT/04. KHO NHẠC NỀN ĐÃ PHÂN LOẠI (7 THỂ LOẠI VIRAL TIKTOK)/02. Vinh Danh &amp; Hào Hùng (14 Bài)/original sound - Alec Koff Label MUSIC [110548].mp3", "▶️ Bấm Nghe Thử")</f>
        <v/>
      </c>
      <c r="E23" s="52" t="inlineStr">
        <is>
          <t>Alec Koff Label MUSIC</t>
        </is>
      </c>
      <c r="F23" s="51" t="inlineStr">
        <is>
          <t>157s</t>
        </is>
      </c>
      <c r="G23" s="52" t="inlineStr">
        <is>
          <t>Tin chiến thắng, người tốt việc tốt, tự hào Việt Nam, thành tựu lớn</t>
        </is>
      </c>
      <c r="H23" s="55" t="inlineStr">
        <is>
          <t>original sound - Alec Koff Label MUSIC [110548].mp3</t>
        </is>
      </c>
      <c r="I23" s="56" t="inlineStr">
        <is>
          <t>--nhac "Majestic background music sound. Triumphant majest"</t>
        </is>
      </c>
      <c r="J23" s="57">
        <f>HYPERLINK("https://www.tiktok.com/@alec_koff_music/video/7635856661261110548", "🔗 Link TikTok")</f>
        <v/>
      </c>
    </row>
    <row r="24" ht="24" customHeight="1">
      <c r="A24" s="44" t="n">
        <v>21</v>
      </c>
      <c r="B24" s="45" t="inlineStr">
        <is>
          <t>Vinh Danh &amp; Hào Hùng</t>
        </is>
      </c>
      <c r="C24" s="46" t="inlineStr">
        <is>
          <t>Award background music for award ceremony, success</t>
        </is>
      </c>
      <c r="D24" s="47">
        <f>HYPERLINK("file:///Users/phuongpham/Downloads/Tool/TÀI NGUYÊN EDIT/04. KHO NHẠC NỀN ĐÃ PHÂN LOẠI (7 THỂ LOẠI VIRAL TIKTOK)/02. Vinh Danh &amp; Hào Hùng (14 Bài)/original sound - Alec Koff Label MUSIC [624263].mp3", "▶️ Bấm Nghe Thử")</f>
        <v/>
      </c>
      <c r="E24" s="45" t="inlineStr">
        <is>
          <t>Alec Koff Label MUSIC</t>
        </is>
      </c>
      <c r="F24" s="44" t="inlineStr">
        <is>
          <t>144s</t>
        </is>
      </c>
      <c r="G24" s="45" t="inlineStr">
        <is>
          <t>Tin chiến thắng, người tốt việc tốt, tự hào Việt Nam, thành tựu lớn</t>
        </is>
      </c>
      <c r="H24" s="48" t="inlineStr">
        <is>
          <t>original sound - Alec Koff Label MUSIC [624263].mp3</t>
        </is>
      </c>
      <c r="I24" s="49" t="inlineStr">
        <is>
          <t>--nhac "Award background music for award ceremony, success"</t>
        </is>
      </c>
      <c r="J24" s="50">
        <f>HYPERLINK("https://www.tiktok.com/@alec_koff_music/video/7566901668554624263", "🔗 Link TikTok")</f>
        <v/>
      </c>
    </row>
    <row r="25" ht="24" customHeight="1">
      <c r="A25" s="51" t="n">
        <v>22</v>
      </c>
      <c r="B25" s="52" t="inlineStr">
        <is>
          <t>Vinh Danh &amp; Hào Hùng</t>
        </is>
      </c>
      <c r="C25" s="53" t="inlineStr">
        <is>
          <t>Inspirational background music sound. Inspiring ba</t>
        </is>
      </c>
      <c r="D25" s="54">
        <f>HYPERLINK("file:///Users/phuongpham/Downloads/Tool/TÀI NGUYÊN EDIT/04. KHO NHẠC NỀN ĐÃ PHÂN LOẠI (7 THỂ LOẠI VIRAL TIKTOK)/02. Vinh Danh &amp; Hào Hùng (14 Bài)/original sound - Alec Koff Label MUSIC [795860].mp3", "▶️ Bấm Nghe Thử")</f>
        <v/>
      </c>
      <c r="E25" s="52" t="inlineStr">
        <is>
          <t>Alec Koff Label MUSIC</t>
        </is>
      </c>
      <c r="F25" s="51" t="inlineStr">
        <is>
          <t>121s</t>
        </is>
      </c>
      <c r="G25" s="52" t="inlineStr">
        <is>
          <t>Tin chiến thắng, người tốt việc tốt, tự hào Việt Nam, thành tựu lớn</t>
        </is>
      </c>
      <c r="H25" s="55" t="inlineStr">
        <is>
          <t>original sound - Alec Koff Label MUSIC [795860].mp3</t>
        </is>
      </c>
      <c r="I25" s="56" t="inlineStr">
        <is>
          <t>--nhac "Inspirational background music sound. Inspiring ba"</t>
        </is>
      </c>
      <c r="J25" s="57">
        <f>HYPERLINK("https://www.tiktok.com/@alec_koff_music/video/7623273291737795860", "🔗 Link TikTok")</f>
        <v/>
      </c>
    </row>
    <row r="26" ht="24" customHeight="1">
      <c r="A26" s="44" t="n">
        <v>23</v>
      </c>
      <c r="B26" s="45" t="inlineStr">
        <is>
          <t>Vinh Danh &amp; Hào Hùng</t>
        </is>
      </c>
      <c r="C26" s="46" t="inlineStr">
        <is>
          <t>Ca khúc dành cho kẻ chiến thắng</t>
        </is>
      </c>
      <c r="D26" s="47">
        <f>HYPERLINK("file:///Users/phuongpham/Downloads/Tool/TÀI NGUYÊN EDIT/04. KHO NHẠC NỀN ĐÃ PHÂN LOẠI (7 THỂ LOẠI VIRAL TIKTOK)/02. Vinh Danh &amp; Hào Hùng (14 Bài)/suara asli - Mas Wawan [074887].mp3", "▶️ Bấm Nghe Thử")</f>
        <v/>
      </c>
      <c r="E26" s="45" t="inlineStr">
        <is>
          <t>Mas Wawan</t>
        </is>
      </c>
      <c r="F26" s="44" t="inlineStr">
        <is>
          <t>60s</t>
        </is>
      </c>
      <c r="G26" s="45" t="inlineStr">
        <is>
          <t>Tin chiến thắng, người tốt việc tốt, tự hào Việt Nam, thành tựu lớn</t>
        </is>
      </c>
      <c r="H26" s="48" t="inlineStr">
        <is>
          <t>suara asli - Mas Wawan [074887].mp3</t>
        </is>
      </c>
      <c r="I26" s="49" t="inlineStr">
        <is>
          <t>--nhac "Ca khúc dành cho kẻ chiến thắng"</t>
        </is>
      </c>
      <c r="J26" s="50">
        <f>HYPERLINK("https://www.tiktok.com/@thng.minh7913/video/7639718674194074887", "🔗 Link TikTok")</f>
        <v/>
      </c>
    </row>
    <row r="27" ht="24" customHeight="1">
      <c r="A27" s="51" t="n">
        <v>24</v>
      </c>
      <c r="B27" s="52" t="inlineStr">
        <is>
          <t>Vinh Danh &amp; Hào Hùng</t>
        </is>
      </c>
      <c r="C27" s="53" t="inlineStr">
        <is>
          <t>thêm tên nhạc dô phần cmt cùng nhau sài đi các tân</t>
        </is>
      </c>
      <c r="D27" s="54">
        <f>HYPERLINK("file:///Users/phuongpham/Downloads/Tool/TÀI NGUYÊN EDIT/04. KHO NHẠC NỀN ĐÃ PHÂN LOẠI (7 THỂ LOẠI VIRAL TIKTOK)/02. Vinh Danh &amp; Hào Hùng (14 Bài)/âm thanh gốc - Cảm Ơn Người Đã Thức Cùng Tôi [209044].mp3", "▶️ Bấm Nghe Thử")</f>
        <v/>
      </c>
      <c r="E27" s="52" t="inlineStr">
        <is>
          <t>Cảm Ơn Người Đã Thức Cùng Tôi</t>
        </is>
      </c>
      <c r="F27" s="51" t="inlineStr">
        <is>
          <t>39s</t>
        </is>
      </c>
      <c r="G27" s="52" t="inlineStr">
        <is>
          <t>Tin chiến thắng, người tốt việc tốt, tự hào Việt Nam, thành tựu lớn</t>
        </is>
      </c>
      <c r="H27" s="55" t="inlineStr">
        <is>
          <t>âm thanh gốc - Cảm Ơn Người Đã Thức Cùng Tôi [209044].mp3</t>
        </is>
      </c>
      <c r="I27" s="56" t="inlineStr">
        <is>
          <t>--nhac "thêm tên nhạc dô phần cmt cùng nhau sài đi các tân"</t>
        </is>
      </c>
      <c r="J27" s="57">
        <f>HYPERLINK("https://www.tiktok.com/@thubancup/video/7674991561314209044", "🔗 Link TikTok")</f>
        <v/>
      </c>
    </row>
    <row r="28" ht="24" customHeight="1">
      <c r="A28" s="44" t="n">
        <v>25</v>
      </c>
      <c r="B28" s="45" t="inlineStr">
        <is>
          <t>Vinh Danh &amp; Hào Hùng</t>
        </is>
      </c>
      <c r="C28" s="46" t="inlineStr">
        <is>
          <t>À ơi, hoa bay lên trời, cây chi ở lại    Quê nhà x</t>
        </is>
      </c>
      <c r="D28" s="47">
        <f>HYPERLINK("file:///Users/phuongpham/Downloads/Tool/TÀI NGUYÊN EDIT/04. KHO NHẠC NỀN ĐÃ PHÂN LOẠI (7 THỂ LOẠI VIRAL TIKTOK)/02. Vinh Danh &amp; Hào Hùng (14 Bài)/âm thanh gốc - anlt [656199].mp3", "▶️ Bấm Nghe Thử")</f>
        <v/>
      </c>
      <c r="E28" s="45" t="inlineStr">
        <is>
          <t>anlt</t>
        </is>
      </c>
      <c r="F28" s="44" t="inlineStr">
        <is>
          <t>40s</t>
        </is>
      </c>
      <c r="G28" s="45" t="inlineStr">
        <is>
          <t>Tin chiến thắng, người tốt việc tốt, tự hào Việt Nam, thành tựu lớn</t>
        </is>
      </c>
      <c r="H28" s="48" t="inlineStr">
        <is>
          <t>âm thanh gốc - anlt [656199].mp3</t>
        </is>
      </c>
      <c r="I28" s="49" t="inlineStr">
        <is>
          <t>--nhac "À ơi, hoa bay lên trời, cây chi ở lại    Quê nhà x"</t>
        </is>
      </c>
      <c r="J28" s="50">
        <f>HYPERLINK("https://www.tiktok.com/@anlt.94/video/7662020323247656199", "🔗 Link TikTok")</f>
        <v/>
      </c>
    </row>
    <row r="29" ht="24" customHeight="1">
      <c r="A29" s="51" t="n">
        <v>26</v>
      </c>
      <c r="B29" s="52" t="inlineStr">
        <is>
          <t>Nhạc Chiêm Nghiệm &amp; Đời Thường</t>
        </is>
      </c>
      <c r="C29" s="53" t="inlineStr">
        <is>
          <t>BONI - Nhạc Học Tập &amp; Chiêm Nghiệm</t>
        </is>
      </c>
      <c r="D29" s="54">
        <f>HYPERLINK("file:///Users/phuongpham/Downloads/Tool/TÀI NGUYÊN EDIT/04. KHO NHẠC NỀN ĐÃ PHÂN LOẠI (7 THỂ LOẠI VIRAL TIKTOK)/03. Nhạc Chiêm Nghiệm &amp; Đời Thường (21 Bài)/BONI - Nhạc Học Tập &amp; Chiêm Nghiệm [449409].mp3", "▶️ Bấm Nghe Thử")</f>
        <v/>
      </c>
      <c r="E29" s="52" t="inlineStr">
        <is>
          <t>Boni của 20t🔥</t>
        </is>
      </c>
      <c r="F29" s="51" t="inlineStr">
        <is>
          <t>27s</t>
        </is>
      </c>
      <c r="G29" s="52" t="inlineStr">
        <is>
          <t>Video tâm sự, góc nhìn cuộc sống, bài học thành công, podcast chiêm nghiệm</t>
        </is>
      </c>
      <c r="H29" s="55" t="inlineStr">
        <is>
          <t>BONI - Nhạc Học Tập &amp; Chiêm Nghiệm [449409].mp3</t>
        </is>
      </c>
      <c r="I29" s="56" t="inlineStr">
        <is>
          <t>--nhac "BONI - Nhạc Học Tập &amp; Chiêm Nghiệm"</t>
        </is>
      </c>
      <c r="J29" s="57">
        <f>HYPERLINK("https://www.tiktok.com/@gochoctap3/video/7690150730262449409", "🔗 Link TikTok")</f>
        <v/>
      </c>
    </row>
    <row r="30" ht="24" customHeight="1">
      <c r="A30" s="44" t="n">
        <v>27</v>
      </c>
      <c r="B30" s="45" t="inlineStr">
        <is>
          <t>Nhạc Chiêm Nghiệm &amp; Đời Thường</t>
        </is>
      </c>
      <c r="C30" s="46" t="inlineStr">
        <is>
          <t>Great Little Things (Trap Version) - Hauxenz</t>
        </is>
      </c>
      <c r="D30" s="47">
        <f>HYPERLINK("file:///Users/phuongpham/Downloads/Tool/TÀI NGUYÊN EDIT/04. KHO NHẠC NỀN ĐÃ PHÂN LOẠI (7 THỂ LOẠI VIRAL TIKTOK)/03. Nhạc Chiêm Nghiệm &amp; Đời Thường (21 Bài)/Great Little Things (Trap Version) - Hauxenz [879570].mp3", "▶️ Bấm Nghe Thử")</f>
        <v/>
      </c>
      <c r="E30" s="45" t="inlineStr">
        <is>
          <t>𝕬𝖙𝖍𝖆𝖓 𝖁𝖚𝖊</t>
        </is>
      </c>
      <c r="F30" s="44" t="inlineStr">
        <is>
          <t>117s</t>
        </is>
      </c>
      <c r="G30" s="45" t="inlineStr">
        <is>
          <t>Video tâm sự, góc nhìn cuộc sống, bài học thành công, podcast chiêm nghiệm</t>
        </is>
      </c>
      <c r="H30" s="48" t="inlineStr">
        <is>
          <t>Great Little Things (Trap Version) - Hauxenz [879570].mp3</t>
        </is>
      </c>
      <c r="I30" s="49" t="inlineStr">
        <is>
          <t>--nhac "Great Little Things (Trap Version) - Hauxenz"</t>
        </is>
      </c>
      <c r="J30" s="50">
        <f>HYPERLINK("https://www.tiktok.com/@athan.vue/video/7677889765533879570", "🔗 Link TikTok")</f>
        <v/>
      </c>
    </row>
    <row r="31" ht="24" customHeight="1">
      <c r="A31" s="51" t="n">
        <v>28</v>
      </c>
      <c r="B31" s="52" t="inlineStr">
        <is>
          <t>Nhạc Chiêm Nghiệm &amp; Đời Thường</t>
        </is>
      </c>
      <c r="C31" s="53" t="inlineStr">
        <is>
          <t>HaruHaru No Guide melody Original by BIGBANG</t>
        </is>
      </c>
      <c r="D31" s="54">
        <f>HYPERLINK("file:///Users/phuongpham/Downloads/Tool/TÀI NGUYÊN EDIT/04. KHO NHẠC NỀN ĐÃ PHÂN LOẠI (7 THỂ LOẠI VIRAL TIKTOK)/03. Nhạc Chiêm Nghiệm &amp; Đời Thường (21 Bài)/HaruHaru No Guide melody Original by BIGBANG [623378].mp3", "▶️ Bấm Nghe Thử")</f>
        <v/>
      </c>
      <c r="E31" s="52" t="inlineStr">
        <is>
          <t>歌っちゃ王</t>
        </is>
      </c>
      <c r="F31" s="51" t="inlineStr">
        <is>
          <t>47s</t>
        </is>
      </c>
      <c r="G31" s="52" t="inlineStr">
        <is>
          <t>Video tâm sự, góc nhìn cuộc sống, bài học thành công, podcast chiêm nghiệm</t>
        </is>
      </c>
      <c r="H31" s="55" t="inlineStr">
        <is>
          <t>HaruHaru No Guide melody Original by BIGBANG [623378].mp3</t>
        </is>
      </c>
      <c r="I31" s="56" t="inlineStr">
        <is>
          <t>--nhac "HaruHaru No Guide melody Original by BIGBANG"</t>
        </is>
      </c>
      <c r="J31" s="57">
        <f>HYPERLINK("https://www.tiktok.com/@mocniemhy1808/video/7519120607720623378", "🔗 Link TikTok")</f>
        <v/>
      </c>
    </row>
    <row r="32" ht="24" customHeight="1">
      <c r="A32" s="44" t="n">
        <v>29</v>
      </c>
      <c r="B32" s="45" t="inlineStr">
        <is>
          <t>Nhạc Chiêm Nghiệm &amp; Đời Thường</t>
        </is>
      </c>
      <c r="C32" s="46" t="inlineStr">
        <is>
          <t>Nhắm Mắt Thấy Mùa Hè</t>
        </is>
      </c>
      <c r="D32" s="47">
        <f>HYPERLINK("file:///Users/phuongpham/Downloads/Tool/TÀI NGUYÊN EDIT/04. KHO NHẠC NỀN ĐÃ PHÂN LOẠI (7 THỂ LOẠI VIRAL TIKTOK)/03. Nhạc Chiêm Nghiệm &amp; Đời Thường (21 Bài)/Nhắm Mắt Thấy Mùa Hè [536578].mp3", "▶️ Bấm Nghe Thử")</f>
        <v/>
      </c>
      <c r="E32" s="45" t="inlineStr">
        <is>
          <t>𝙖𝙣𝙝𝙨𝙩𝙮𝙡𝙚😎</t>
        </is>
      </c>
      <c r="F32" s="44" t="inlineStr">
        <is>
          <t>59s</t>
        </is>
      </c>
      <c r="G32" s="45" t="inlineStr">
        <is>
          <t>Video tâm sự, góc nhìn cuộc sống, bài học thành công, podcast chiêm nghiệm</t>
        </is>
      </c>
      <c r="H32" s="48" t="inlineStr">
        <is>
          <t>Nhắm Mắt Thấy Mùa Hè [536578].mp3</t>
        </is>
      </c>
      <c r="I32" s="49" t="inlineStr">
        <is>
          <t>--nhac "Nhắm Mắt Thấy Mùa Hè"</t>
        </is>
      </c>
      <c r="J32" s="50">
        <f>HYPERLINK("https://www.tiktok.com/@1010lykaka/video/7347252300500536578", "🔗 Link TikTok")</f>
        <v/>
      </c>
    </row>
    <row r="33" ht="24" customHeight="1">
      <c r="A33" s="51" t="n">
        <v>30</v>
      </c>
      <c r="B33" s="52" t="inlineStr">
        <is>
          <t>Nhạc Chiêm Nghiệm &amp; Đời Thường</t>
        </is>
      </c>
      <c r="C33" s="53" t="inlineStr">
        <is>
          <t>Quyn Music - Tình Yêu Nhẹ Nhàng</t>
        </is>
      </c>
      <c r="D33" s="54">
        <f>HYPERLINK("file:///Users/phuongpham/Downloads/Tool/TÀI NGUYÊN EDIT/04. KHO NHẠC NỀN ĐÃ PHÂN LOẠI (7 THỂ LOẠI VIRAL TIKTOK)/03. Nhạc Chiêm Nghiệm &amp; Đời Thường (21 Bài)/Quyn Music - Tình Yêu Nhẹ Nhàng [281044].mp3", "▶️ Bấm Nghe Thử")</f>
        <v/>
      </c>
      <c r="E33" s="52" t="inlineStr">
        <is>
          <t>Quyn Music</t>
        </is>
      </c>
      <c r="F33" s="51" t="inlineStr">
        <is>
          <t>60s</t>
        </is>
      </c>
      <c r="G33" s="52" t="inlineStr">
        <is>
          <t>Video tâm sự, góc nhìn cuộc sống, bài học thành công, podcast chiêm nghiệm</t>
        </is>
      </c>
      <c r="H33" s="55" t="inlineStr">
        <is>
          <t>Quyn Music - Tình Yêu Nhẹ Nhàng [281044].mp3</t>
        </is>
      </c>
      <c r="I33" s="56" t="inlineStr">
        <is>
          <t>--nhac "Quyn Music - Tình Yêu Nhẹ Nhàng"</t>
        </is>
      </c>
      <c r="J33" s="57">
        <f>HYPERLINK("https://www.tiktok.com/@luxure313/video/7693447603941281044", "🔗 Link TikTok")</f>
        <v/>
      </c>
    </row>
    <row r="34" ht="24" customHeight="1">
      <c r="A34" s="44" t="n">
        <v>31</v>
      </c>
      <c r="B34" s="45" t="inlineStr">
        <is>
          <t>Nhạc Chiêm Nghiệm &amp; Đời Thường</t>
        </is>
      </c>
      <c r="C34" s="46" t="inlineStr">
        <is>
          <t>Thức Giấc</t>
        </is>
      </c>
      <c r="D34" s="47">
        <f>HYPERLINK("file:///Users/phuongpham/Downloads/Tool/TÀI NGUYÊN EDIT/04. KHO NHẠC NỀN ĐÃ PHÂN LOẠI (7 THỂ LOẠI VIRAL TIKTOK)/03. Nhạc Chiêm Nghiệm &amp; Đời Thường (21 Bài)/Thức Giấc [918215].mp3", "▶️ Bấm Nghe Thử")</f>
        <v/>
      </c>
      <c r="E34" s="45" t="inlineStr">
        <is>
          <t>Da LAB</t>
        </is>
      </c>
      <c r="F34" s="44" t="inlineStr">
        <is>
          <t>31s</t>
        </is>
      </c>
      <c r="G34" s="45" t="inlineStr">
        <is>
          <t>Video tâm sự, góc nhìn cuộc sống, bài học thành công, podcast chiêm nghiệm</t>
        </is>
      </c>
      <c r="H34" s="48" t="inlineStr">
        <is>
          <t>Thức Giấc [918215].mp3</t>
        </is>
      </c>
      <c r="I34" s="49" t="inlineStr">
        <is>
          <t>--nhac "Thức Giấc"</t>
        </is>
      </c>
      <c r="J34" s="50">
        <f>HYPERLINK("https://www.tiktok.com/@xphap_/video/7500164715297918215", "🔗 Link TikTok")</f>
        <v/>
      </c>
    </row>
    <row r="35" ht="24" customHeight="1">
      <c r="A35" s="51" t="n">
        <v>32</v>
      </c>
      <c r="B35" s="52" t="inlineStr">
        <is>
          <t>Nhạc Chiêm Nghiệm &amp; Đời Thường</t>
        </is>
      </c>
      <c r="C35" s="53" t="inlineStr">
        <is>
          <t>Trời Hửng Nắng</t>
        </is>
      </c>
      <c r="D35" s="54">
        <f>HYPERLINK("file:///Users/phuongpham/Downloads/Tool/TÀI NGUYÊN EDIT/04. KHO NHẠC NỀN ĐÃ PHÂN LOẠI (7 THỂ LOẠI VIRAL TIKTOK)/03. Nhạc Chiêm Nghiệm &amp; Đời Thường (21 Bài)/Trời Hửng Nắng - Acoustic Lofi Chill.mp3", "▶️ Bấm Nghe Thử")</f>
        <v/>
      </c>
      <c r="E35" s="52" t="inlineStr">
        <is>
          <t>Acoustic / Lofi</t>
        </is>
      </c>
      <c r="F35" s="51" t="inlineStr">
        <is>
          <t>187s</t>
        </is>
      </c>
      <c r="G35" s="52" t="inlineStr">
        <is>
          <t>Video tâm sự, góc nhìn cuộc sống, bài học thành công, podcast chiêm nghiệm</t>
        </is>
      </c>
      <c r="H35" s="55" t="inlineStr">
        <is>
          <t>Trời Hửng Nắng - Acoustic Lofi Chill.mp3</t>
        </is>
      </c>
      <c r="I35" s="56" t="inlineStr">
        <is>
          <t>--nhac "Trời Hửng Nắng"</t>
        </is>
      </c>
      <c r="J35" s="51" t="inlineStr">
        <is>
          <t>--</t>
        </is>
      </c>
    </row>
    <row r="36" ht="24" customHeight="1">
      <c r="A36" s="44" t="n">
        <v>33</v>
      </c>
      <c r="B36" s="45" t="inlineStr">
        <is>
          <t>Nhạc Chiêm Nghiệm &amp; Đời Thường</t>
        </is>
      </c>
      <c r="C36" s="46" t="inlineStr">
        <is>
          <t>Trở Về</t>
        </is>
      </c>
      <c r="D36" s="47">
        <f>HYPERLINK("file:///Users/phuongpham/Downloads/Tool/TÀI NGUYÊN EDIT/04. KHO NHẠC NỀN ĐÃ PHÂN LOẠI (7 THỂ LOẠI VIRAL TIKTOK)/03. Nhạc Chiêm Nghiệm &amp; Đời Thường (21 Bài)/Trở Về [289030].mp3", "▶️ Bấm Nghe Thử")</f>
        <v/>
      </c>
      <c r="E36" s="45" t="inlineStr">
        <is>
          <t>Wxrdie</t>
        </is>
      </c>
      <c r="F36" s="44" t="inlineStr">
        <is>
          <t>56s</t>
        </is>
      </c>
      <c r="G36" s="45" t="inlineStr">
        <is>
          <t>Video tâm sự, góc nhìn cuộc sống, bài học thành công, podcast chiêm nghiệm</t>
        </is>
      </c>
      <c r="H36" s="48" t="inlineStr">
        <is>
          <t>Trở Về [289030].mp3</t>
        </is>
      </c>
      <c r="I36" s="49" t="inlineStr">
        <is>
          <t>--nhac "Trở Về"</t>
        </is>
      </c>
      <c r="J36" s="50">
        <f>HYPERLINK("https://www.tiktok.com/@metubmusic/video/7457902116112289030", "🔗 Link TikTok")</f>
        <v/>
      </c>
    </row>
    <row r="37" ht="24" customHeight="1">
      <c r="A37" s="51" t="n">
        <v>34</v>
      </c>
      <c r="B37" s="52" t="inlineStr">
        <is>
          <t>Nhạc Chiêm Nghiệm &amp; Đời Thường</t>
        </is>
      </c>
      <c r="C37" s="53" t="inlineStr">
        <is>
          <t>Đi để trở về</t>
        </is>
      </c>
      <c r="D37" s="54">
        <f>HYPERLINK("file:///Users/phuongpham/Downloads/Tool/TÀI NGUYÊN EDIT/04. KHO NHẠC NỀN ĐÃ PHÂN LOẠI (7 THỂ LOẠI VIRAL TIKTOK)/03. Nhạc Chiêm Nghiệm &amp; Đời Thường (21 Bài)/nhạc nền - Cheese [246151].mp3", "▶️ Bấm Nghe Thử")</f>
        <v/>
      </c>
      <c r="E37" s="52" t="inlineStr">
        <is>
          <t>Títtt</t>
        </is>
      </c>
      <c r="F37" s="51" t="inlineStr">
        <is>
          <t>42s</t>
        </is>
      </c>
      <c r="G37" s="52" t="inlineStr">
        <is>
          <t>Video tâm sự, góc nhìn cuộc sống, bài học thành công, podcast chiêm nghiệm</t>
        </is>
      </c>
      <c r="H37" s="55" t="inlineStr">
        <is>
          <t>nhạc nền - Cheese [246151].mp3</t>
        </is>
      </c>
      <c r="I37" s="56" t="inlineStr">
        <is>
          <t>--nhac "Đi để trở về"</t>
        </is>
      </c>
      <c r="J37" s="57">
        <f>HYPERLINK("https://www.tiktok.com/@tramwbear_63/video/7578503706430246151", "🔗 Link TikTok")</f>
        <v/>
      </c>
    </row>
    <row r="38" ht="24" customHeight="1">
      <c r="A38" s="44" t="n">
        <v>35</v>
      </c>
      <c r="B38" s="45" t="inlineStr">
        <is>
          <t>Nhạc Chiêm Nghiệm &amp; Đời Thường</t>
        </is>
      </c>
      <c r="C38" s="46" t="inlineStr">
        <is>
          <t>Người ta hay nói Việt Nam là một trong những quốc</t>
        </is>
      </c>
      <c r="D38" s="47">
        <f>HYPERLINK("file:///Users/phuongpham/Downloads/Tool/TÀI NGUYÊN EDIT/04. KHO NHẠC NỀN ĐÃ PHÂN LOẠI (7 THỂ LOẠI VIRAL TIKTOK)/03. Nhạc Chiêm Nghiệm &amp; Đời Thường (21 Bài)/nhạc nền - Color of Memory [272146].mp3", "▶️ Bấm Nghe Thử")</f>
        <v/>
      </c>
      <c r="E38" s="45" t="inlineStr">
        <is>
          <t>Color of Memory</t>
        </is>
      </c>
      <c r="F38" s="44" t="inlineStr">
        <is>
          <t>29s</t>
        </is>
      </c>
      <c r="G38" s="45" t="inlineStr">
        <is>
          <t>Video tâm sự, góc nhìn cuộc sống, bài học thành công, podcast chiêm nghiệm</t>
        </is>
      </c>
      <c r="H38" s="48" t="inlineStr">
        <is>
          <t>nhạc nền - Color of Memory [272146].mp3</t>
        </is>
      </c>
      <c r="I38" s="49" t="inlineStr">
        <is>
          <t>--nhac "Người ta hay nói Việt Nam là một trong những quốc"</t>
        </is>
      </c>
      <c r="J38" s="50">
        <f>HYPERLINK("https://www.tiktok.com/@maucuakyuc/video/7600783283416272146", "🔗 Link TikTok")</f>
        <v/>
      </c>
    </row>
    <row r="39" ht="24" customHeight="1">
      <c r="A39" s="51" t="n">
        <v>36</v>
      </c>
      <c r="B39" s="52" t="inlineStr">
        <is>
          <t>Nhạc Chiêm Nghiệm &amp; Đời Thường</t>
        </is>
      </c>
      <c r="C39" s="53" t="inlineStr">
        <is>
          <t>Và ngoài đó, hoang tàn giằng xé thì ở đây vẫn có đ</t>
        </is>
      </c>
      <c r="D39" s="54">
        <f>HYPERLINK("file:///Users/phuongpham/Downloads/Tool/TÀI NGUYÊN EDIT/04. KHO NHẠC NỀN ĐÃ PHÂN LOẠI (7 THỂ LOẠI VIRAL TIKTOK)/03. Nhạc Chiêm Nghiệm &amp; Đời Thường (21 Bài)/nhạc nền - Feeling Soundz [664647].mp3", "▶️ Bấm Nghe Thử")</f>
        <v/>
      </c>
      <c r="E39" s="52" t="inlineStr">
        <is>
          <t>Feeling Soundzz</t>
        </is>
      </c>
      <c r="F39" s="51" t="inlineStr">
        <is>
          <t>24s</t>
        </is>
      </c>
      <c r="G39" s="52" t="inlineStr">
        <is>
          <t>Video tâm sự, góc nhìn cuộc sống, bài học thành công, podcast chiêm nghiệm</t>
        </is>
      </c>
      <c r="H39" s="55" t="inlineStr">
        <is>
          <t>nhạc nền - Feeling Soundz [664647].mp3</t>
        </is>
      </c>
      <c r="I39" s="56" t="inlineStr">
        <is>
          <t>--nhac "Và ngoài đó, hoang tàn giằng xé thì ở đây vẫn có đ"</t>
        </is>
      </c>
      <c r="J39" s="57">
        <f>HYPERLINK("https://www.tiktok.com/@onlypassionmusic/video/7575006900555664647", "🔗 Link TikTok")</f>
        <v/>
      </c>
    </row>
    <row r="40" ht="24" customHeight="1">
      <c r="A40" s="44" t="n">
        <v>37</v>
      </c>
      <c r="B40" s="45" t="inlineStr">
        <is>
          <t>Nhạc Chiêm Nghiệm &amp; Đời Thường</t>
        </is>
      </c>
      <c r="C40" s="46" t="inlineStr">
        <is>
          <t>Có những vết đau rồi cũng đã lành..</t>
        </is>
      </c>
      <c r="D40" s="47">
        <f>HYPERLINK("file:///Users/phuongpham/Downloads/Tool/TÀI NGUYÊN EDIT/04. KHO NHẠC NỀN ĐÃ PHÂN LOẠI (7 THỂ LOẠI VIRAL TIKTOK)/03. Nhạc Chiêm Nghiệm &amp; Đời Thường (21 Bài)/nhạc nền - Gen Z nghe gì [021970].mp3", "▶️ Bấm Nghe Thử")</f>
        <v/>
      </c>
      <c r="E40" s="45" t="inlineStr">
        <is>
          <t>Gen Z nghe gì ?</t>
        </is>
      </c>
      <c r="F40" s="44" t="inlineStr">
        <is>
          <t>47s</t>
        </is>
      </c>
      <c r="G40" s="45" t="inlineStr">
        <is>
          <t>Video tâm sự, góc nhìn cuộc sống, bài học thành công, podcast chiêm nghiệm</t>
        </is>
      </c>
      <c r="H40" s="48" t="inlineStr">
        <is>
          <t>nhạc nền - Gen Z nghe gì [021970].mp3</t>
        </is>
      </c>
      <c r="I40" s="49" t="inlineStr">
        <is>
          <t>--nhac "Có những vết đau rồi cũng đã lành.."</t>
        </is>
      </c>
      <c r="J40" s="50">
        <f>HYPERLINK("https://www.tiktok.com/@onlypassionmusic/video/7390197247541021970", "🔗 Link TikTok")</f>
        <v/>
      </c>
    </row>
    <row r="41" ht="24" customHeight="1">
      <c r="A41" s="51" t="n">
        <v>38</v>
      </c>
      <c r="B41" s="52" t="inlineStr">
        <is>
          <t>Nhạc Chiêm Nghiệm &amp; Đời Thường</t>
        </is>
      </c>
      <c r="C41" s="53" t="inlineStr">
        <is>
          <t>Thắng - CHO TÔI LANG THANG ft. Đen Vâu</t>
        </is>
      </c>
      <c r="D41" s="54">
        <f>HYPERLINK("file:///Users/phuongpham/Downloads/Tool/TÀI NGUYÊN EDIT/04. KHO NHẠC NỀN ĐÃ PHÂN LOẠI (7 THỂ LOẠI VIRAL TIKTOK)/03. Nhạc Chiêm Nghiệm &amp; Đời Thường (21 Bài)/nhạc nền - Hip Hop National VN [375623].mp3", "▶️ Bấm Nghe Thử")</f>
        <v/>
      </c>
      <c r="E41" s="52" t="inlineStr">
        <is>
          <t>Hip Hop National VN</t>
        </is>
      </c>
      <c r="F41" s="51" t="inlineStr">
        <is>
          <t>31s</t>
        </is>
      </c>
      <c r="G41" s="52" t="inlineStr">
        <is>
          <t>Video tâm sự, góc nhìn cuộc sống, bài học thành công, podcast chiêm nghiệm</t>
        </is>
      </c>
      <c r="H41" s="55" t="inlineStr">
        <is>
          <t>nhạc nền - Hip Hop National VN [375623].mp3</t>
        </is>
      </c>
      <c r="I41" s="56" t="inlineStr">
        <is>
          <t>--nhac "Thắng - CHO TÔI LANG THANG ft. Đen Vâu"</t>
        </is>
      </c>
      <c r="J41" s="57">
        <f>HYPERLINK("https://www.tiktok.com/@hiphopnationalvn/video/7483866288335375623", "🔗 Link TikTok")</f>
        <v/>
      </c>
    </row>
    <row r="42" ht="24" customHeight="1">
      <c r="A42" s="44" t="n">
        <v>39</v>
      </c>
      <c r="B42" s="45" t="inlineStr">
        <is>
          <t>Nhạc Chiêm Nghiệm &amp; Đời Thường</t>
        </is>
      </c>
      <c r="C42" s="46" t="inlineStr">
        <is>
          <t>trước khi tuổi trẻ này đóng lối - NGẮN</t>
        </is>
      </c>
      <c r="D42" s="47">
        <f>HYPERLINK("file:///Users/phuongpham/Downloads/Tool/TÀI NGUYÊN EDIT/04. KHO NHẠC NỀN ĐÃ PHÂN LOẠI (7 THỂ LOẠI VIRAL TIKTOK)/03. Nhạc Chiêm Nghiệm &amp; Đời Thường (21 Bài)/nhạc nền - NGẮN [320897].mp3", "▶️ Bấm Nghe Thử")</f>
        <v/>
      </c>
      <c r="E42" s="45" t="inlineStr">
        <is>
          <t>NGẮN</t>
        </is>
      </c>
      <c r="F42" s="44" t="inlineStr">
        <is>
          <t>49s</t>
        </is>
      </c>
      <c r="G42" s="45" t="inlineStr">
        <is>
          <t>Video tâm sự, góc nhìn cuộc sống, bài học thành công, podcast chiêm nghiệm</t>
        </is>
      </c>
      <c r="H42" s="48" t="inlineStr">
        <is>
          <t>nhạc nền - NGẮN [320897].mp3</t>
        </is>
      </c>
      <c r="I42" s="49" t="inlineStr">
        <is>
          <t>--nhac "trước khi tuổi trẻ này đóng lối - NGẮN"</t>
        </is>
      </c>
      <c r="J42" s="50">
        <f>HYPERLINK("https://www.tiktok.com/@nganofficical/video/7244873079854320897", "🔗 Link TikTok")</f>
        <v/>
      </c>
    </row>
    <row r="43" ht="24" customHeight="1">
      <c r="A43" s="51" t="n">
        <v>40</v>
      </c>
      <c r="B43" s="52" t="inlineStr">
        <is>
          <t>Nhạc Chiêm Nghiệm &amp; Đời Thường</t>
        </is>
      </c>
      <c r="C43" s="53" t="inlineStr">
        <is>
          <t>Rồi có một ngày ta gặp nhau</t>
        </is>
      </c>
      <c r="D43" s="54">
        <f>HYPERLINK("file:///Users/phuongpham/Downloads/Tool/TÀI NGUYÊN EDIT/04. KHO NHẠC NỀN ĐÃ PHÂN LOẠI (7 THỂ LOẠI VIRAL TIKTOK)/03. Nhạc Chiêm Nghiệm &amp; Đời Thường (21 Bài)/nhạc nền - Nat Original [138010].mp3", "▶️ Bấm Nghe Thử")</f>
        <v/>
      </c>
      <c r="E43" s="52" t="inlineStr">
        <is>
          <t>Nat Original</t>
        </is>
      </c>
      <c r="F43" s="51" t="inlineStr">
        <is>
          <t>59s</t>
        </is>
      </c>
      <c r="G43" s="52" t="inlineStr">
        <is>
          <t>Video tâm sự, góc nhìn cuộc sống, bài học thành công, podcast chiêm nghiệm</t>
        </is>
      </c>
      <c r="H43" s="55" t="inlineStr">
        <is>
          <t>nhạc nền - Nat Original [138010].mp3</t>
        </is>
      </c>
      <c r="I43" s="56" t="inlineStr">
        <is>
          <t>--nhac "Rồi có một ngày ta gặp nhau"</t>
        </is>
      </c>
      <c r="J43" s="57">
        <f>HYPERLINK("https://www.tiktok.com/@nangmusiccorner/video/7204759598216138010", "🔗 Link TikTok")</f>
        <v/>
      </c>
    </row>
    <row r="44" ht="24" customHeight="1">
      <c r="A44" s="44" t="n">
        <v>41</v>
      </c>
      <c r="B44" s="45" t="inlineStr">
        <is>
          <t>Nhạc Chiêm Nghiệm &amp; Đời Thường</t>
        </is>
      </c>
      <c r="C44" s="46" t="inlineStr">
        <is>
          <t>Và hồn tôi từ đó Là khúc ca vang trong ngần Làm đô</t>
        </is>
      </c>
      <c r="D44" s="47">
        <f>HYPERLINK("file:///Users/phuongpham/Downloads/Tool/TÀI NGUYÊN EDIT/04. KHO NHẠC NỀN ĐÃ PHÂN LOẠI (7 THỂ LOẠI VIRAL TIKTOK)/03. Nhạc Chiêm Nghiệm &amp; Đời Thường (21 Bài)/nhạc nền - Run Your Chill [598549].mp3", "▶️ Bấm Nghe Thử")</f>
        <v/>
      </c>
      <c r="E44" s="45" t="inlineStr">
        <is>
          <t>Run Your Chill</t>
        </is>
      </c>
      <c r="F44" s="44" t="inlineStr">
        <is>
          <t>22s</t>
        </is>
      </c>
      <c r="G44" s="45" t="inlineStr">
        <is>
          <t>Video tâm sự, góc nhìn cuộc sống, bài học thành công, podcast chiêm nghiệm</t>
        </is>
      </c>
      <c r="H44" s="48" t="inlineStr">
        <is>
          <t>nhạc nền - Run Your Chill [598549].mp3</t>
        </is>
      </c>
      <c r="I44" s="49" t="inlineStr">
        <is>
          <t>--nhac "Và hồn tôi từ đó Là khúc ca vang trong ngần Làm đô"</t>
        </is>
      </c>
      <c r="J44" s="50">
        <f>HYPERLINK("https://www.tiktok.com/@th.vinh.trn6/video/7631777779788598549", "🔗 Link TikTok")</f>
        <v/>
      </c>
    </row>
    <row r="45" ht="24" customHeight="1">
      <c r="A45" s="51" t="n">
        <v>42</v>
      </c>
      <c r="B45" s="52" t="inlineStr">
        <is>
          <t>Nhạc Chiêm Nghiệm &amp; Đời Thường</t>
        </is>
      </c>
      <c r="C45" s="53" t="inlineStr">
        <is>
          <t>Đoạn intro của bài hát này có giai điệu hay nhất V</t>
        </is>
      </c>
      <c r="D45" s="54">
        <f>HYPERLINK("file:///Users/phuongpham/Downloads/Tool/TÀI NGUYÊN EDIT/04. KHO NHẠC NỀN ĐÃ PHÂN LOẠI (7 THỂ LOẠI VIRAL TIKTOK)/03. Nhạc Chiêm Nghiệm &amp; Đời Thường (21 Bài)/nhạc nền - iamhadong [741383].mp3", "▶️ Bấm Nghe Thử")</f>
        <v/>
      </c>
      <c r="E45" s="52" t="inlineStr">
        <is>
          <t>hadong</t>
        </is>
      </c>
      <c r="F45" s="51" t="inlineStr">
        <is>
          <t>39s</t>
        </is>
      </c>
      <c r="G45" s="52" t="inlineStr">
        <is>
          <t>Video tâm sự, góc nhìn cuộc sống, bài học thành công, podcast chiêm nghiệm</t>
        </is>
      </c>
      <c r="H45" s="55" t="inlineStr">
        <is>
          <t>nhạc nền - iamhadong [741383].mp3</t>
        </is>
      </c>
      <c r="I45" s="56" t="inlineStr">
        <is>
          <t>--nhac "Đoạn intro của bài hát này có giai điệu hay nhất V"</t>
        </is>
      </c>
      <c r="J45" s="57">
        <f>HYPERLINK("https://www.tiktok.com/@iamhadong/video/7538773020756741383", "🔗 Link TikTok")</f>
        <v/>
      </c>
    </row>
    <row r="46" ht="24" customHeight="1">
      <c r="A46" s="44" t="n">
        <v>43</v>
      </c>
      <c r="B46" s="45" t="inlineStr">
        <is>
          <t>Nhạc Chiêm Nghiệm &amp; Đời Thường</t>
        </is>
      </c>
      <c r="C46" s="46" t="inlineStr">
        <is>
          <t>Đen xin mời mọi người xem MV bài hát mới  Vị Nhà .</t>
        </is>
      </c>
      <c r="D46" s="47">
        <f>HYPERLINK("file:///Users/phuongpham/Downloads/Tool/TÀI NGUYÊN EDIT/04. KHO NHẠC NỀN ĐÃ PHÂN LOẠI (7 THỂ LOẠI VIRAL TIKTOK)/03. Nhạc Chiêm Nghiệm &amp; Đời Thường (21 Bài)/nhạc nền - Đen Vâu official [913877].mp3", "▶️ Bấm Nghe Thử")</f>
        <v/>
      </c>
      <c r="E46" s="45" t="inlineStr">
        <is>
          <t>Đen Vâu official</t>
        </is>
      </c>
      <c r="F46" s="44" t="inlineStr">
        <is>
          <t>37s</t>
        </is>
      </c>
      <c r="G46" s="45" t="inlineStr">
        <is>
          <t>Video tâm sự, góc nhìn cuộc sống, bài học thành công, podcast chiêm nghiệm</t>
        </is>
      </c>
      <c r="H46" s="48" t="inlineStr">
        <is>
          <t>nhạc nền - Đen Vâu official [913877].mp3</t>
        </is>
      </c>
      <c r="I46" s="49" t="inlineStr">
        <is>
          <t>--nhac "Đen xin mời mọi người xem MV bài hát mới  Vị Nhà ."</t>
        </is>
      </c>
      <c r="J46" s="50">
        <f>HYPERLINK("https://www.tiktok.com/@den.vauvn/video/7460110149189913877", "🔗 Link TikTok")</f>
        <v/>
      </c>
    </row>
    <row r="47" ht="24" customHeight="1">
      <c r="A47" s="51" t="n">
        <v>44</v>
      </c>
      <c r="B47" s="52" t="inlineStr">
        <is>
          <t>Nhạc Chiêm Nghiệm &amp; Đời Thường</t>
        </is>
      </c>
      <c r="C47" s="53" t="inlineStr">
        <is>
          <t>Đường về nhà có thể quanh co, chật hẹp, nhưng vẫn</t>
        </is>
      </c>
      <c r="D47" s="54">
        <f>HYPERLINK("file:///Users/phuongpham/Downloads/Tool/TÀI NGUYÊN EDIT/04. KHO NHẠC NỀN ĐÃ PHÂN LOẠI (7 THỂ LOẠI VIRAL TIKTOK)/03. Nhạc Chiêm Nghiệm &amp; Đời Thường (21 Bài)/âm thanh gốc - Color of Memory [626962].mp3", "▶️ Bấm Nghe Thử")</f>
        <v/>
      </c>
      <c r="E47" s="52" t="inlineStr">
        <is>
          <t>Color of Memory</t>
        </is>
      </c>
      <c r="F47" s="51" t="inlineStr">
        <is>
          <t>36s</t>
        </is>
      </c>
      <c r="G47" s="52" t="inlineStr">
        <is>
          <t>Video tâm sự, góc nhìn cuộc sống, bài học thành công, podcast chiêm nghiệm</t>
        </is>
      </c>
      <c r="H47" s="55" t="inlineStr">
        <is>
          <t>âm thanh gốc - Color of Memory [626962].mp3</t>
        </is>
      </c>
      <c r="I47" s="56" t="inlineStr">
        <is>
          <t>--nhac "Đường về nhà có thể quanh co, chật hẹp, nhưng vẫn"</t>
        </is>
      </c>
      <c r="J47" s="57">
        <f>HYPERLINK("https://www.tiktok.com/@maucuakyuc/video/7678728195184626962", "🔗 Link TikTok")</f>
        <v/>
      </c>
    </row>
    <row r="48" ht="24" customHeight="1">
      <c r="A48" s="44" t="n">
        <v>45</v>
      </c>
      <c r="B48" s="45" t="inlineStr">
        <is>
          <t>Nhạc Chiêm Nghiệm &amp; Đời Thường</t>
        </is>
      </c>
      <c r="C48" s="46" t="inlineStr">
        <is>
          <t>Cho Tôi Lang Thang - Đen ft.Ngọt</t>
        </is>
      </c>
      <c r="D48" s="47">
        <f>HYPERLINK("file:///Users/phuongpham/Downloads/Tool/TÀI NGUYÊN EDIT/04. KHO NHẠC NỀN ĐÃ PHÂN LOẠI (7 THỂ LOẠI VIRAL TIKTOK)/03. Nhạc Chiêm Nghiệm &amp; Đời Thường (21 Bài)/âm thanh gốc - easy.ez [982933].mp3", "▶️ Bấm Nghe Thử")</f>
        <v/>
      </c>
      <c r="E48" s="45" t="inlineStr">
        <is>
          <t>☝️🤓</t>
        </is>
      </c>
      <c r="F48" s="44" t="inlineStr">
        <is>
          <t>21s</t>
        </is>
      </c>
      <c r="G48" s="45" t="inlineStr">
        <is>
          <t>Video tâm sự, góc nhìn cuộc sống, bài học thành công, podcast chiêm nghiệm</t>
        </is>
      </c>
      <c r="H48" s="48" t="inlineStr">
        <is>
          <t>âm thanh gốc - easy.ez [982933].mp3</t>
        </is>
      </c>
      <c r="I48" s="49" t="inlineStr">
        <is>
          <t>--nhac "Cho Tôi Lang Thang - Đen ft.Ngọt"</t>
        </is>
      </c>
      <c r="J48" s="50">
        <f>HYPERLINK("https://www.tiktok.com/@eazyacong/video/7668910386694982933", "🔗 Link TikTok")</f>
        <v/>
      </c>
    </row>
    <row r="49" ht="24" customHeight="1">
      <c r="A49" s="51" t="n">
        <v>46</v>
      </c>
      <c r="B49" s="52" t="inlineStr">
        <is>
          <t>Nhạc Chiêm Nghiệm &amp; Đời Thường</t>
        </is>
      </c>
      <c r="C49" s="53" t="inlineStr">
        <is>
          <t>Đi để trở về 2</t>
        </is>
      </c>
      <c r="D49" s="54">
        <f>HYPERLINK("file:///Users/phuongpham/Downloads/Tool/TÀI NGUYÊN EDIT/04. KHO NHẠC NỀN ĐÃ PHÂN LOẠI (7 THỂ LOẠI VIRAL TIKTOK)/03. Nhạc Chiêm Nghiệm &amp; Đời Thường (21 Bài)/Đi để trở về 2 [263048].mp3", "▶️ Bấm Nghe Thử")</f>
        <v/>
      </c>
      <c r="E49" s="52" t="inlineStr">
        <is>
          <t>hydrangea</t>
        </is>
      </c>
      <c r="F49" s="51" t="inlineStr">
        <is>
          <t>42s</t>
        </is>
      </c>
      <c r="G49" s="52" t="inlineStr">
        <is>
          <t>Video tâm sự, góc nhìn cuộc sống, bài học thành công, podcast chiêm nghiệm</t>
        </is>
      </c>
      <c r="H49" s="55" t="inlineStr">
        <is>
          <t>Đi để trở về 2 [263048].mp3</t>
        </is>
      </c>
      <c r="I49" s="56" t="inlineStr">
        <is>
          <t>--nhac "Đi để trở về 2"</t>
        </is>
      </c>
      <c r="J49" s="57">
        <f>HYPERLINK("https://www.tiktok.com/@chill.withgenz/video/7454268331894263048", "🔗 Link TikTok")</f>
        <v/>
      </c>
    </row>
    <row r="50" ht="24" customHeight="1">
      <c r="A50" s="44" t="n">
        <v>47</v>
      </c>
      <c r="B50" s="45" t="inlineStr">
        <is>
          <t>Nhạc Buồn &amp; Lắng Đọng</t>
        </is>
      </c>
      <c r="C50" s="46" t="inlineStr">
        <is>
          <t>Chúng Ta Của Tương Lai</t>
        </is>
      </c>
      <c r="D50" s="47">
        <f>HYPERLINK("file:///Users/phuongpham/Downloads/Tool/TÀI NGUYÊN EDIT/04. KHO NHẠC NỀN ĐÃ PHÂN LOẠI (7 THỂ LOẠI VIRAL TIKTOK)/04. Nhạc Buồn &amp; Lắng Đọng (21 Bài)/Chúng Ta Của Tương Lai [343570].mp3", "▶️ Bấm Nghe Thử")</f>
        <v/>
      </c>
      <c r="E50" s="45" t="inlineStr">
        <is>
          <t>Sơn Tùng M-TP</t>
        </is>
      </c>
      <c r="F50" s="44" t="inlineStr">
        <is>
          <t>83s</t>
        </is>
      </c>
      <c r="G50" s="45" t="inlineStr">
        <is>
          <t>Lễ tưởng niệm, chia sẻ mất mát, câu chuyện thương tâm, hoài niệm xúc động</t>
        </is>
      </c>
      <c r="H50" s="48" t="inlineStr">
        <is>
          <t>Chúng Ta Của Tương Lai [343570].mp3</t>
        </is>
      </c>
      <c r="I50" s="49" t="inlineStr">
        <is>
          <t>--nhac "Chúng Ta Của Tương Lai"</t>
        </is>
      </c>
      <c r="J50" s="50">
        <f>HYPERLINK("https://www.tiktok.com/@q.baosky96/video/7354958006108343570", "🔗 Link TikTok")</f>
        <v/>
      </c>
    </row>
    <row r="51" ht="24" customHeight="1">
      <c r="A51" s="51" t="n">
        <v>48</v>
      </c>
      <c r="B51" s="52" t="inlineStr">
        <is>
          <t>Nhạc Buồn &amp; Lắng Đọng</t>
        </is>
      </c>
      <c r="C51" s="53" t="inlineStr">
        <is>
          <t>Sau Lời Từ Khước</t>
        </is>
      </c>
      <c r="D51" s="54">
        <f>HYPERLINK("file:///Users/phuongpham/Downloads/Tool/TÀI NGUYÊN EDIT/04. KHO NHẠC NỀN ĐÃ PHÂN LOẠI (7 THỂ LOẠI VIRAL TIKTOK)/04. Nhạc Buồn &amp; Lắng Đọng (21 Bài)/Sau Lời Từ Khước [614677].mp3", "▶️ Bấm Nghe Thử")</f>
        <v/>
      </c>
      <c r="E51" s="52" t="inlineStr">
        <is>
          <t>Phan Mạnh Quỳnh</t>
        </is>
      </c>
      <c r="F51" s="51" t="inlineStr">
        <is>
          <t>45s</t>
        </is>
      </c>
      <c r="G51" s="52" t="inlineStr">
        <is>
          <t>Lễ tưởng niệm, chia sẻ mất mát, câu chuyện thương tâm, hoài niệm xúc động</t>
        </is>
      </c>
      <c r="H51" s="55" t="inlineStr">
        <is>
          <t>Sau Lời Từ Khước [614677].mp3</t>
        </is>
      </c>
      <c r="I51" s="56" t="inlineStr">
        <is>
          <t>--nhac "Sau Lời Từ Khước"</t>
        </is>
      </c>
      <c r="J51" s="57">
        <f>HYPERLINK("https://www.tiktok.com/@thhunh387/video/7650351290928614677", "🔗 Link TikTok")</f>
        <v/>
      </c>
    </row>
    <row r="52" ht="24" customHeight="1">
      <c r="A52" s="44" t="n">
        <v>49</v>
      </c>
      <c r="B52" s="45" t="inlineStr">
        <is>
          <t>Nhạc Buồn &amp; Lắng Đọng</t>
        </is>
      </c>
      <c r="C52" s="46" t="inlineStr">
        <is>
          <t>Tháng Tư Là Lời Nói Dối Của Em</t>
        </is>
      </c>
      <c r="D52" s="47">
        <f>HYPERLINK("file:///Users/phuongpham/Downloads/Tool/TÀI NGUYÊN EDIT/04. KHO NHẠC NỀN ĐÃ PHÂN LOẠI (7 THỂ LOẠI VIRAL TIKTOK)/04. Nhạc Buồn &amp; Lắng Đọng (21 Bài)/Tháng Tư Là Lời Nói Dối Của Em [425109].mp3", "▶️ Bấm Nghe Thử")</f>
        <v/>
      </c>
      <c r="E52" s="45" t="inlineStr">
        <is>
          <t>Hà Anh Tuấn</t>
        </is>
      </c>
      <c r="F52" s="44" t="inlineStr">
        <is>
          <t>27s</t>
        </is>
      </c>
      <c r="G52" s="45" t="inlineStr">
        <is>
          <t>Lễ tưởng niệm, chia sẻ mất mát, câu chuyện thương tâm, hoài niệm xúc động</t>
        </is>
      </c>
      <c r="H52" s="48" t="inlineStr">
        <is>
          <t>Tháng Tư Là Lời Nói Dối Của Em [425109].mp3</t>
        </is>
      </c>
      <c r="I52" s="49" t="inlineStr">
        <is>
          <t>--nhac "Tháng Tư Là Lời Nói Dối Của Em"</t>
        </is>
      </c>
      <c r="J52" s="50">
        <f>HYPERLINK("https://www.tiktok.com/@fujii_01/video/7623594784946425109", "🔗 Link TikTok")</f>
        <v/>
      </c>
    </row>
    <row r="53" ht="24" customHeight="1">
      <c r="A53" s="51" t="n">
        <v>50</v>
      </c>
      <c r="B53" s="52" t="inlineStr">
        <is>
          <t>Nhạc Buồn &amp; Lắng Đọng</t>
        </is>
      </c>
      <c r="C53" s="53" t="inlineStr">
        <is>
          <t>Vì Anh Đâu Có Biết</t>
        </is>
      </c>
      <c r="D53" s="54">
        <f>HYPERLINK("file:///Users/phuongpham/Downloads/Tool/TÀI NGUYÊN EDIT/04. KHO NHẠC NỀN ĐÃ PHÂN LOẠI (7 THỂ LOẠI VIRAL TIKTOK)/04. Nhạc Buồn &amp; Lắng Đọng (21 Bài)/Vì Anh Đâu Có Biết [116754].mp3", "▶️ Bấm Nghe Thử")</f>
        <v/>
      </c>
      <c r="E53" s="52" t="inlineStr">
        <is>
          <t>Vũ.</t>
        </is>
      </c>
      <c r="F53" s="51" t="inlineStr">
        <is>
          <t>33s</t>
        </is>
      </c>
      <c r="G53" s="52" t="inlineStr">
        <is>
          <t>Lễ tưởng niệm, chia sẻ mất mát, câu chuyện thương tâm, hoài niệm xúc động</t>
        </is>
      </c>
      <c r="H53" s="55" t="inlineStr">
        <is>
          <t>Vì Anh Đâu Có Biết [116754].mp3</t>
        </is>
      </c>
      <c r="I53" s="56" t="inlineStr">
        <is>
          <t>--nhac "Vì Anh Đâu Có Biết"</t>
        </is>
      </c>
      <c r="J53" s="57">
        <f>HYPERLINK("https://www.tiktok.com/@xphap_/video/7425209928052116754", "🔗 Link TikTok")</f>
        <v/>
      </c>
    </row>
    <row r="54" ht="24" customHeight="1">
      <c r="A54" s="44" t="n">
        <v>51</v>
      </c>
      <c r="B54" s="45" t="inlineStr">
        <is>
          <t>Nhạc Buồn &amp; Lắng Đọng</t>
        </is>
      </c>
      <c r="C54" s="46" t="inlineStr">
        <is>
          <t>Ngày cô ấy đi theo nơi phồn hoa</t>
        </is>
      </c>
      <c r="D54" s="47">
        <f>HYPERLINK("file:///Users/phuongpham/Downloads/Tool/TÀI NGUYÊN EDIT/04. KHO NHẠC NỀN ĐÃ PHÂN LOẠI (7 THỂ LOẠI VIRAL TIKTOK)/04. Nhạc Buồn &amp; Lắng Đọng (21 Bài)/nhạc nền - DaLat duky [353415].mp3", "▶️ Bấm Nghe Thử")</f>
        <v/>
      </c>
      <c r="E54" s="45" t="inlineStr">
        <is>
          <t>DzungMay</t>
        </is>
      </c>
      <c r="F54" s="44" t="inlineStr">
        <is>
          <t>45s</t>
        </is>
      </c>
      <c r="G54" s="45" t="inlineStr">
        <is>
          <t>Lễ tưởng niệm, chia sẻ mất mát, câu chuyện thương tâm, hoài niệm xúc động</t>
        </is>
      </c>
      <c r="H54" s="48" t="inlineStr">
        <is>
          <t>nhạc nền - DaLat duky [353415].mp3</t>
        </is>
      </c>
      <c r="I54" s="49" t="inlineStr">
        <is>
          <t>--nhac "Ngày cô ấy đi theo nơi phồn hoa"</t>
        </is>
      </c>
      <c r="J54" s="50">
        <f>HYPERLINK("https://www.tiktok.com/@xphap_/video/7507626656786353415", "🔗 Link TikTok")</f>
        <v/>
      </c>
    </row>
    <row r="55" ht="24" customHeight="1">
      <c r="A55" s="51" t="n">
        <v>52</v>
      </c>
      <c r="B55" s="52" t="inlineStr">
        <is>
          <t>Nhạc Buồn &amp; Lắng Đọng</t>
        </is>
      </c>
      <c r="C55" s="53" t="inlineStr">
        <is>
          <t>Em Đừng Khóc   Chillies</t>
        </is>
      </c>
      <c r="D55" s="54">
        <f>HYPERLINK("file:///Users/phuongpham/Downloads/Tool/TÀI NGUYÊN EDIT/04. KHO NHẠC NỀN ĐÃ PHÂN LOẠI (7 THỂ LOẠI VIRAL TIKTOK)/04. Nhạc Buồn &amp; Lắng Đọng (21 Bài)/nhạc nền - Thị Thu Uyên Nguyễn [821704].mp3", "▶️ Bấm Nghe Thử")</f>
        <v/>
      </c>
      <c r="E55" s="52" t="inlineStr">
        <is>
          <t>Thị Thu Uyên Nguyễn</t>
        </is>
      </c>
      <c r="F55" s="51" t="inlineStr">
        <is>
          <t>56s</t>
        </is>
      </c>
      <c r="G55" s="52" t="inlineStr">
        <is>
          <t>Lễ tưởng niệm, chia sẻ mất mát, câu chuyện thương tâm, hoài niệm xúc động</t>
        </is>
      </c>
      <c r="H55" s="55" t="inlineStr">
        <is>
          <t>nhạc nền - Thị Thu Uyên Nguyễn [821704].mp3</t>
        </is>
      </c>
      <c r="I55" s="56" t="inlineStr">
        <is>
          <t>--nhac "Em Đừng Khóc   Chillies"</t>
        </is>
      </c>
      <c r="J55" s="57">
        <f>HYPERLINK("https://www.tiktok.com/@_nlat._/video/7671274298853821704", "🔗 Link TikTok")</f>
        <v/>
      </c>
    </row>
    <row r="56" ht="24" customHeight="1">
      <c r="A56" s="44" t="n">
        <v>53</v>
      </c>
      <c r="B56" s="45" t="inlineStr">
        <is>
          <t>Nhạc Buồn &amp; Lắng Đọng</t>
        </is>
      </c>
      <c r="C56" s="46" t="inlineStr">
        <is>
          <t>nghe bài hát này bạn nhớ tới ai</t>
        </is>
      </c>
      <c r="D56" s="47">
        <f>HYPERLINK("file:///Users/phuongpham/Downloads/Tool/TÀI NGUYÊN EDIT/04. KHO NHẠC NỀN ĐÃ PHÂN LOẠI (7 THỂ LOẠI VIRAL TIKTOK)/04. Nhạc Buồn &amp; Lắng Đọng (21 Bài)/nhạc nền - [234388].mp3", "▶️ Bấm Nghe Thử")</f>
        <v/>
      </c>
      <c r="E56" s="45" t="inlineStr">
        <is>
          <t>🐼</t>
        </is>
      </c>
      <c r="F56" s="44" t="inlineStr">
        <is>
          <t>33s</t>
        </is>
      </c>
      <c r="G56" s="45" t="inlineStr">
        <is>
          <t>Lễ tưởng niệm, chia sẻ mất mát, câu chuyện thương tâm, hoài niệm xúc động</t>
        </is>
      </c>
      <c r="H56" s="48" t="inlineStr">
        <is>
          <t>nhạc nền - [234388].mp3</t>
        </is>
      </c>
      <c r="I56" s="49" t="inlineStr">
        <is>
          <t>--nhac "nghe bài hát này bạn nhớ tới ai"</t>
        </is>
      </c>
      <c r="J56" s="50">
        <f>HYPERLINK("https://www.tiktok.com/@.vtuyen29/video/7577397880374234388", "🔗 Link TikTok")</f>
        <v/>
      </c>
    </row>
    <row r="57" ht="24" customHeight="1">
      <c r="A57" s="51" t="n">
        <v>54</v>
      </c>
      <c r="B57" s="52" t="inlineStr">
        <is>
          <t>Nhạc Buồn &amp; Lắng Đọng</t>
        </is>
      </c>
      <c r="C57" s="53" t="inlineStr">
        <is>
          <t>Có chàng trai viết lên cây..</t>
        </is>
      </c>
      <c r="D57" s="54">
        <f>HYPERLINK("file:///Users/phuongpham/Downloads/Tool/TÀI NGUYÊN EDIT/04. KHO NHẠC NỀN ĐÃ PHÂN LOẠI (7 THỂ LOẠI VIRAL TIKTOK)/04. Nhạc Buồn &amp; Lắng Đọng (21 Bài)/nhạc nền - 𝑵𝒈𝒉𝒆 𝑮𝒊 𝑯𝒐 𝒎 𝑵𝒂𝒚 [504277].mp3", "▶️ Bấm Nghe Thử")</f>
        <v/>
      </c>
      <c r="E57" s="52" t="inlineStr">
        <is>
          <t>𝑵𝒈𝒉𝒆 𝑮𝒊̀ 𝑯𝒐̂𝒎 𝑵𝒂𝒚</t>
        </is>
      </c>
      <c r="F57" s="51" t="inlineStr">
        <is>
          <t>26s</t>
        </is>
      </c>
      <c r="G57" s="52" t="inlineStr">
        <is>
          <t>Lễ tưởng niệm, chia sẻ mất mát, câu chuyện thương tâm, hoài niệm xúc động</t>
        </is>
      </c>
      <c r="H57" s="55" t="inlineStr">
        <is>
          <t>nhạc nền - 𝑵𝒈𝒉𝒆 𝑮𝒊 𝑯𝒐 𝒎 𝑵𝒂𝒚 [504277].mp3</t>
        </is>
      </c>
      <c r="I57" s="56" t="inlineStr">
        <is>
          <t>--nhac "Có chàng trai viết lên cây.."</t>
        </is>
      </c>
      <c r="J57" s="57">
        <f>HYPERLINK("https://www.tiktok.com/@codonsomtoi_211/video/7645214186309504277", "🔗 Link TikTok")</f>
        <v/>
      </c>
    </row>
    <row r="58" ht="24" customHeight="1">
      <c r="A58" s="44" t="n">
        <v>55</v>
      </c>
      <c r="B58" s="45" t="inlineStr">
        <is>
          <t>Nhạc Buồn &amp; Lắng Đọng</t>
        </is>
      </c>
      <c r="C58" s="46" t="inlineStr">
        <is>
          <t>Xin Đừng Lặng Im - soobin</t>
        </is>
      </c>
      <c r="D58" s="47">
        <f>HYPERLINK("file:///Users/phuongpham/Downloads/Tool/TÀI NGUYÊN EDIT/04. KHO NHẠC NỀN ĐÃ PHÂN LOẠI (7 THỂ LOẠI VIRAL TIKTOK)/04. Nhạc Buồn &amp; Lắng Đọng (21 Bài)/nhạc nền - 𝓤𝔂𝓷𝓷 FLOP [750356].mp3", "▶️ Bấm Nghe Thử")</f>
        <v/>
      </c>
      <c r="E58" s="45" t="inlineStr">
        <is>
          <t>𝑈𝑦𝑛𝑛 💫⚡[𝐹𝐿𝑂𝑃]</t>
        </is>
      </c>
      <c r="F58" s="44" t="inlineStr">
        <is>
          <t>46s</t>
        </is>
      </c>
      <c r="G58" s="45" t="inlineStr">
        <is>
          <t>Lễ tưởng niệm, chia sẻ mất mát, câu chuyện thương tâm, hoài niệm xúc động</t>
        </is>
      </c>
      <c r="H58" s="48" t="inlineStr">
        <is>
          <t>nhạc nền - 𝓤𝔂𝓷𝓷 FLOP [750356].mp3</t>
        </is>
      </c>
      <c r="I58" s="49" t="inlineStr">
        <is>
          <t>--nhac "Xin Đừng Lặng Im - soobin"</t>
        </is>
      </c>
      <c r="J58" s="50">
        <f>HYPERLINK("https://www.tiktok.com/@ph3636366767/video/7685755788840750356", "🔗 Link TikTok")</f>
        <v/>
      </c>
    </row>
    <row r="59" ht="24" customHeight="1">
      <c r="A59" s="51" t="n">
        <v>56</v>
      </c>
      <c r="B59" s="52" t="inlineStr">
        <is>
          <t>Nhạc Buồn &amp; Lắng Đọng</t>
        </is>
      </c>
      <c r="C59" s="53" t="inlineStr">
        <is>
          <t>nếu ngày ấy anh ngỏ lời thương..</t>
        </is>
      </c>
      <c r="D59" s="54">
        <f>HYPERLINK("file:///Users/phuongpham/Downloads/Tool/TÀI NGUYÊN EDIT/04. KHO NHẠC NỀN ĐÃ PHÂN LOẠI (7 THỂ LOẠI VIRAL TIKTOK)/04. Nhạc Buồn &amp; Lắng Đọng (21 Bài)/nhạc nền - 𝙉𝙖𝙩𝙚 [794578].mp3", "▶️ Bấm Nghe Thử")</f>
        <v/>
      </c>
      <c r="E59" s="52" t="inlineStr">
        <is>
          <t>𝙉𝙖𝙩𝙚 🌧</t>
        </is>
      </c>
      <c r="F59" s="51" t="inlineStr">
        <is>
          <t>31s</t>
        </is>
      </c>
      <c r="G59" s="52" t="inlineStr">
        <is>
          <t>Lễ tưởng niệm, chia sẻ mất mát, câu chuyện thương tâm, hoài niệm xúc động</t>
        </is>
      </c>
      <c r="H59" s="55" t="inlineStr">
        <is>
          <t>nhạc nền - 𝙉𝙖𝙩𝙚 [794578].mp3</t>
        </is>
      </c>
      <c r="I59" s="56" t="inlineStr">
        <is>
          <t>--nhac "nếu ngày ấy anh ngỏ lời thương.."</t>
        </is>
      </c>
      <c r="J59" s="57">
        <f>HYPERLINK("https://www.tiktok.com/@demxuongnhaclen/video/7662600727117794578", "🔗 Link TikTok")</f>
        <v/>
      </c>
    </row>
    <row r="60" ht="24" customHeight="1">
      <c r="A60" s="44" t="n">
        <v>57</v>
      </c>
      <c r="B60" s="45" t="inlineStr">
        <is>
          <t>Nhạc Buồn &amp; Lắng Đọng</t>
        </is>
      </c>
      <c r="C60" s="46" t="inlineStr">
        <is>
          <t>Tháng năm -Soobin Hoàng Sơn-</t>
        </is>
      </c>
      <c r="D60" s="47">
        <f>HYPERLINK("file:///Users/phuongpham/Downloads/Tool/TÀI NGUYÊN EDIT/04. KHO NHẠC NỀN ĐÃ PHÂN LOẠI (7 THỂ LOẠI VIRAL TIKTOK)/04. Nhạc Buồn &amp; Lắng Đọng (21 Bài)/nhạc nền - 𝙏𝐫𝐚𝐧 𝐃𝐮𝐜 [852308].mp3", "▶️ Bấm Nghe Thử")</f>
        <v/>
      </c>
      <c r="E60" s="45" t="inlineStr">
        <is>
          <t>Han Nhat Phong</t>
        </is>
      </c>
      <c r="F60" s="44" t="inlineStr">
        <is>
          <t>51s</t>
        </is>
      </c>
      <c r="G60" s="45" t="inlineStr">
        <is>
          <t>Lễ tưởng niệm, chia sẻ mất mát, câu chuyện thương tâm, hoài niệm xúc động</t>
        </is>
      </c>
      <c r="H60" s="48" t="inlineStr">
        <is>
          <t>nhạc nền - 𝙏𝐫𝐚𝐧 𝐃𝐮𝐜 [852308].mp3</t>
        </is>
      </c>
      <c r="I60" s="49" t="inlineStr">
        <is>
          <t>--nhac "Tháng năm -Soobin Hoàng Sơn-"</t>
        </is>
      </c>
      <c r="J60" s="50">
        <f>HYPERLINK("https://www.tiktok.com/@maikti322/video/7663909917815852308", "🔗 Link TikTok")</f>
        <v/>
      </c>
    </row>
    <row r="61" ht="24" customHeight="1">
      <c r="A61" s="51" t="n">
        <v>58</v>
      </c>
      <c r="B61" s="52" t="inlineStr">
        <is>
          <t>Nhạc Buồn &amp; Lắng Đọng</t>
        </is>
      </c>
      <c r="C61" s="53" t="inlineStr">
        <is>
          <t>still with you - jungkook</t>
        </is>
      </c>
      <c r="D61" s="54">
        <f>HYPERLINK("file:///Users/phuongpham/Downloads/Tool/TÀI NGUYÊN EDIT/04. KHO NHẠC NỀN ĐÃ PHÂN LOẠI (7 THỂ LOẠI VIRAL TIKTOK)/04. Nhạc Buồn &amp; Lắng Đọng (21 Bài)/still with you - jungkook [340566].mp3", "▶️ Bấm Nghe Thử")</f>
        <v/>
      </c>
      <c r="E61" s="52" t="inlineStr">
        <is>
          <t>yuh</t>
        </is>
      </c>
      <c r="F61" s="51" t="inlineStr">
        <is>
          <t>18s</t>
        </is>
      </c>
      <c r="G61" s="52" t="inlineStr">
        <is>
          <t>Lễ tưởng niệm, chia sẻ mất mát, câu chuyện thương tâm, hoài niệm xúc động</t>
        </is>
      </c>
      <c r="H61" s="55" t="inlineStr">
        <is>
          <t>still with you - jungkook [340566].mp3</t>
        </is>
      </c>
      <c r="I61" s="56" t="inlineStr">
        <is>
          <t>--nhac "still with you - jungkook"</t>
        </is>
      </c>
      <c r="J61" s="57">
        <f>HYPERLINK("https://www.tiktok.com/@cpklyrics/video/7652997963987340566", "🔗 Link TikTok")</f>
        <v/>
      </c>
    </row>
    <row r="62" ht="24" customHeight="1">
      <c r="A62" s="44" t="n">
        <v>59</v>
      </c>
      <c r="B62" s="45" t="inlineStr">
        <is>
          <t>Nhạc Buồn &amp; Lắng Đọng</t>
        </is>
      </c>
      <c r="C62" s="46" t="inlineStr">
        <is>
          <t>thw mò</t>
        </is>
      </c>
      <c r="D62" s="47">
        <f>HYPERLINK("file:///Users/phuongpham/Downloads/Tool/TÀI NGUYÊN EDIT/04. KHO NHẠC NỀN ĐÃ PHÂN LOẠI (7 THỂ LOẠI VIRAL TIKTOK)/04. Nhạc Buồn &amp; Lắng Đọng (21 Bài)/thw mò [870356].mp3", "▶️ Bấm Nghe Thử")</f>
        <v/>
      </c>
      <c r="E62" s="45" t="inlineStr">
        <is>
          <t>Bé Như</t>
        </is>
      </c>
      <c r="F62" s="44" t="inlineStr">
        <is>
          <t>30s</t>
        </is>
      </c>
      <c r="G62" s="45" t="inlineStr">
        <is>
          <t>Lễ tưởng niệm, chia sẻ mất mát, câu chuyện thương tâm, hoài niệm xúc động</t>
        </is>
      </c>
      <c r="H62" s="48" t="inlineStr">
        <is>
          <t>thw mò [870356].mp3</t>
        </is>
      </c>
      <c r="I62" s="49" t="inlineStr">
        <is>
          <t>--nhac "thw mò"</t>
        </is>
      </c>
      <c r="J62" s="50">
        <f>HYPERLINK("https://www.tiktok.com/@_wxrkey/video/7619573037997870356", "🔗 Link TikTok")</f>
        <v/>
      </c>
    </row>
    <row r="63" ht="24" customHeight="1">
      <c r="A63" s="51" t="n">
        <v>60</v>
      </c>
      <c r="B63" s="52" t="inlineStr">
        <is>
          <t>Nhạc Buồn &amp; Lắng Đọng</t>
        </is>
      </c>
      <c r="C63" s="53" t="inlineStr">
        <is>
          <t>Vậy là châm hết rồi đúng không...</t>
        </is>
      </c>
      <c r="D63" s="54">
        <f>HYPERLINK("file:///Users/phuongpham/Downloads/Tool/TÀI NGUYÊN EDIT/04. KHO NHẠC NỀN ĐÃ PHÂN LOẠI (7 THỂ LOẠI VIRAL TIKTOK)/04. Nhạc Buồn &amp; Lắng Đọng (21 Bài)/âm thanh gốc - Feeling Soundz [386196].mp3", "▶️ Bấm Nghe Thử")</f>
        <v/>
      </c>
      <c r="E63" s="52" t="inlineStr">
        <is>
          <t>Feeling Soundzz</t>
        </is>
      </c>
      <c r="F63" s="51" t="inlineStr">
        <is>
          <t>26s</t>
        </is>
      </c>
      <c r="G63" s="52" t="inlineStr">
        <is>
          <t>Lễ tưởng niệm, chia sẻ mất mát, câu chuyện thương tâm, hoài niệm xúc động</t>
        </is>
      </c>
      <c r="H63" s="55" t="inlineStr">
        <is>
          <t>âm thanh gốc - Feeling Soundz [386196].mp3</t>
        </is>
      </c>
      <c r="I63" s="56" t="inlineStr">
        <is>
          <t>--nhac "Vậy là châm hết rồi đúng không..."</t>
        </is>
      </c>
      <c r="J63" s="57">
        <f>HYPERLINK("https://www.tiktok.com/@onlypassionmusic/video/7675774068498386196", "🔗 Link TikTok")</f>
        <v/>
      </c>
    </row>
    <row r="64" ht="24" customHeight="1">
      <c r="A64" s="44" t="n">
        <v>61</v>
      </c>
      <c r="B64" s="45" t="inlineStr">
        <is>
          <t>Nhạc Buồn &amp; Lắng Đọng</t>
        </is>
      </c>
      <c r="C64" s="46" t="inlineStr">
        <is>
          <t>Anh Đã Quen Với Cô Đơn - SOOBIN -</t>
        </is>
      </c>
      <c r="D64" s="47">
        <f>HYPERLINK("file:///Users/phuongpham/Downloads/Tool/TÀI NGUYÊN EDIT/04. KHO NHẠC NỀN ĐÃ PHÂN LOẠI (7 THỂ LOẠI VIRAL TIKTOK)/04. Nhạc Buồn &amp; Lắng Đọng (21 Bài)/âm thanh gốc - TOP [457365].mp3", "▶️ Bấm Nghe Thử")</f>
        <v/>
      </c>
      <c r="E64" s="45" t="inlineStr">
        <is>
          <t>TOP</t>
        </is>
      </c>
      <c r="F64" s="44" t="inlineStr">
        <is>
          <t>32s</t>
        </is>
      </c>
      <c r="G64" s="45" t="inlineStr">
        <is>
          <t>Lễ tưởng niệm, chia sẻ mất mát, câu chuyện thương tâm, hoài niệm xúc động</t>
        </is>
      </c>
      <c r="H64" s="48" t="inlineStr">
        <is>
          <t>âm thanh gốc - TOP [457365].mp3</t>
        </is>
      </c>
      <c r="I64" s="49" t="inlineStr">
        <is>
          <t>--nhac "Anh Đã Quen Với Cô Đơn - SOOBIN -"</t>
        </is>
      </c>
      <c r="J64" s="50">
        <f>HYPERLINK("https://www.tiktok.com/@tuibidien385/video/7668235820922457365", "🔗 Link TikTok")</f>
        <v/>
      </c>
    </row>
    <row r="65" ht="24" customHeight="1">
      <c r="A65" s="51" t="n">
        <v>62</v>
      </c>
      <c r="B65" s="52" t="inlineStr">
        <is>
          <t>Nhạc Buồn &amp; Lắng Đọng</t>
        </is>
      </c>
      <c r="C65" s="53" t="inlineStr">
        <is>
          <t>mưa bổng ùa về trên căn gác vắng tí tách rơi từng</t>
        </is>
      </c>
      <c r="D65" s="54">
        <f>HYPERLINK("file:///Users/phuongpham/Downloads/Tool/TÀI NGUYÊN EDIT/04. KHO NHẠC NỀN ĐÃ PHÂN LOẠI (7 THỂ LOẠI VIRAL TIKTOK)/04. Nhạc Buồn &amp; Lắng Đọng (21 Bài)/âm thanh gốc - Văn Heo Xinh [212744].mp3", "▶️ Bấm Nghe Thử")</f>
        <v/>
      </c>
      <c r="E65" s="52" t="inlineStr">
        <is>
          <t>Văn Heo Xinh 🎭</t>
        </is>
      </c>
      <c r="F65" s="51" t="inlineStr">
        <is>
          <t>45s</t>
        </is>
      </c>
      <c r="G65" s="52" t="inlineStr">
        <is>
          <t>Lễ tưởng niệm, chia sẻ mất mát, câu chuyện thương tâm, hoài niệm xúc động</t>
        </is>
      </c>
      <c r="H65" s="55" t="inlineStr">
        <is>
          <t>âm thanh gốc - Văn Heo Xinh [212744].mp3</t>
        </is>
      </c>
      <c r="I65" s="56" t="inlineStr">
        <is>
          <t>--nhac "mưa bổng ùa về trên căn gác vắng tí tách rơi từng"</t>
        </is>
      </c>
      <c r="J65" s="57">
        <f>HYPERLINK("https://www.tiktok.com/@pdvan06/video/7688664364408212744", "🔗 Link TikTok")</f>
        <v/>
      </c>
    </row>
    <row r="66" ht="24" customHeight="1">
      <c r="A66" s="44" t="n">
        <v>63</v>
      </c>
      <c r="B66" s="45" t="inlineStr">
        <is>
          <t>Nhạc Buồn &amp; Lắng Đọng</t>
        </is>
      </c>
      <c r="C66" s="46" t="inlineStr">
        <is>
          <t>đói view quáa</t>
        </is>
      </c>
      <c r="D66" s="47">
        <f>HYPERLINK("file:///Users/phuongpham/Downloads/Tool/TÀI NGUYÊN EDIT/04. KHO NHẠC NỀN ĐÃ PHÂN LOẠI (7 THỂ LOẠI VIRAL TIKTOK)/04. Nhạc Buồn &amp; Lắng Đọng (21 Bài)/âm thanh gốc - ZDOT23 [817362].mp3", "▶️ Bấm Nghe Thử")</f>
        <v/>
      </c>
      <c r="E66" s="45" t="inlineStr">
        <is>
          <t>Prod.Zdot</t>
        </is>
      </c>
      <c r="F66" s="44" t="inlineStr">
        <is>
          <t>23s</t>
        </is>
      </c>
      <c r="G66" s="45" t="inlineStr">
        <is>
          <t>Lễ tưởng niệm, chia sẻ mất mát, câu chuyện thương tâm, hoài niệm xúc động</t>
        </is>
      </c>
      <c r="H66" s="48" t="inlineStr">
        <is>
          <t>âm thanh gốc - ZDOT23 [817362].mp3</t>
        </is>
      </c>
      <c r="I66" s="49" t="inlineStr">
        <is>
          <t>--nhac "đói view quáa"</t>
        </is>
      </c>
      <c r="J66" s="50">
        <f>HYPERLINK("https://www.tiktok.com/@prod.zdot/video/7625103789065817362", "🔗 Link TikTok")</f>
        <v/>
      </c>
    </row>
    <row r="67" ht="24" customHeight="1">
      <c r="A67" s="51" t="n">
        <v>64</v>
      </c>
      <c r="B67" s="52" t="inlineStr">
        <is>
          <t>Nhạc Buồn &amp; Lắng Đọng</t>
        </is>
      </c>
      <c r="C67" s="53" t="inlineStr">
        <is>
          <t>Sinh ra đã là thứ đối lập nhau - Emcee L(Da Lab)ft</t>
        </is>
      </c>
      <c r="D67" s="54">
        <f>HYPERLINK("file:///Users/phuongpham/Downloads/Tool/TÀI NGUYÊN EDIT/04. KHO NHẠC NỀN ĐÃ PHÂN LOẠI (7 THỂ LOẠI VIRAL TIKTOK)/04. Nhạc Buồn &amp; Lắng Đọng (21 Bài)/âm thanh gốc - just meow [706000].mp3", "▶️ Bấm Nghe Thử")</f>
        <v/>
      </c>
      <c r="E67" s="52" t="inlineStr">
        <is>
          <t>just meow</t>
        </is>
      </c>
      <c r="F67" s="51" t="inlineStr">
        <is>
          <t>30s</t>
        </is>
      </c>
      <c r="G67" s="52" t="inlineStr">
        <is>
          <t>Lễ tưởng niệm, chia sẻ mất mát, câu chuyện thương tâm, hoài niệm xúc động</t>
        </is>
      </c>
      <c r="H67" s="55" t="inlineStr">
        <is>
          <t>âm thanh gốc - just meow [706000].mp3</t>
        </is>
      </c>
      <c r="I67" s="56" t="inlineStr">
        <is>
          <t>--nhac "Sinh ra đã là thứ đối lập nhau - Emcee L(Da Lab)ft"</t>
        </is>
      </c>
      <c r="J67" s="57">
        <f>HYPERLINK("https://www.tiktok.com/@roosterd/video/7679069257589706000", "🔗 Link TikTok")</f>
        <v/>
      </c>
    </row>
    <row r="68" ht="24" customHeight="1">
      <c r="A68" s="44" t="n">
        <v>65</v>
      </c>
      <c r="B68" s="45" t="inlineStr">
        <is>
          <t>Nhạc Buồn &amp; Lắng Đọng</t>
        </is>
      </c>
      <c r="C68" s="46" t="inlineStr">
        <is>
          <t>Cứ thế im lặng dần, cứ thế phai nhạt dần..</t>
        </is>
      </c>
      <c r="D68" s="47">
        <f>HYPERLINK("file:///Users/phuongpham/Downloads/Tool/TÀI NGUYÊN EDIT/04. KHO NHẠC NỀN ĐÃ PHÂN LOẠI (7 THỂ LOẠI VIRAL TIKTOK)/04. Nhạc Buồn &amp; Lắng Đọng (21 Bài)/âm thanh gốc - Đêm xuống nhạc lên [773076].mp3", "▶️ Bấm Nghe Thử")</f>
        <v/>
      </c>
      <c r="E68" s="45" t="inlineStr">
        <is>
          <t>Đêm xuống nhạc lên</t>
        </is>
      </c>
      <c r="F68" s="44" t="inlineStr">
        <is>
          <t>44s</t>
        </is>
      </c>
      <c r="G68" s="45" t="inlineStr">
        <is>
          <t>Lễ tưởng niệm, chia sẻ mất mát, câu chuyện thương tâm, hoài niệm xúc động</t>
        </is>
      </c>
      <c r="H68" s="48" t="inlineStr">
        <is>
          <t>âm thanh gốc - Đêm xuống nhạc lên [773076].mp3</t>
        </is>
      </c>
      <c r="I68" s="49" t="inlineStr">
        <is>
          <t>--nhac "Cứ thế im lặng dần, cứ thế phai nhạt dần.."</t>
        </is>
      </c>
      <c r="J68" s="50">
        <f>HYPERLINK("https://www.tiktok.com/@demxuongnhaclen/video/7689060220701773076", "🔗 Link TikTok")</f>
        <v/>
      </c>
    </row>
    <row r="69" ht="24" customHeight="1">
      <c r="A69" s="51" t="n">
        <v>66</v>
      </c>
      <c r="B69" s="52" t="inlineStr">
        <is>
          <t>Nhạc Buồn &amp; Lắng Đọng</t>
        </is>
      </c>
      <c r="C69" s="53" t="inlineStr">
        <is>
          <t>Korean songs</t>
        </is>
      </c>
      <c r="D69" s="54">
        <f>HYPERLINK("file:///Users/phuongpham/Downloads/Tool/TÀI NGUYÊN EDIT/04. KHO NHẠC NỀN ĐÃ PHÂN LOẠI (7 THỂ LOẠI VIRAL TIKTOK)/04. Nhạc Buồn &amp; Lắng Đọng (21 Bài)/оригинальный звук [188822].mp3", "▶️ Bấm Nghe Thử")</f>
        <v/>
      </c>
      <c r="E69" s="52" t="inlineStr">
        <is>
          <t>khuseny🇺🇿</t>
        </is>
      </c>
      <c r="F69" s="51" t="inlineStr">
        <is>
          <t>28s</t>
        </is>
      </c>
      <c r="G69" s="52" t="inlineStr">
        <is>
          <t>Lễ tưởng niệm, chia sẻ mất mát, câu chuyện thương tâm, hoài niệm xúc động</t>
        </is>
      </c>
      <c r="H69" s="55" t="inlineStr">
        <is>
          <t>оригинальный звук [188822].mp3</t>
        </is>
      </c>
      <c r="I69" s="56" t="inlineStr">
        <is>
          <t>--nhac "Korean songs"</t>
        </is>
      </c>
      <c r="J69" s="57">
        <f>HYPERLINK("https://www.tiktok.com/@khuseny/video/7632958606526188822", "🔗 Link TikTok")</f>
        <v/>
      </c>
    </row>
    <row r="70" ht="24" customHeight="1">
      <c r="A70" s="44" t="n">
        <v>67</v>
      </c>
      <c r="B70" s="45" t="inlineStr">
        <is>
          <t>Nhạc Buồn &amp; Lắng Đọng</t>
        </is>
      </c>
      <c r="C70" s="46" t="inlineStr">
        <is>
          <t>눈,코,입 (Eyes, Nose, Lips)</t>
        </is>
      </c>
      <c r="D70" s="47">
        <f>HYPERLINK("file:///Users/phuongpham/Downloads/Tool/TÀI NGUYÊN EDIT/04. KHO NHẠC NỀN ĐÃ PHÂN LOẠI (7 THỂ LOẠI VIRAL TIKTOK)/04. Nhạc Buồn &amp; Lắng Đọng (21 Bài)/눈,코,입 (Eyes, Nose, Lips) [659538].mp3", "▶️ Bấm Nghe Thử")</f>
        <v/>
      </c>
      <c r="E70" s="45" t="inlineStr">
        <is>
          <t>TAEYANG</t>
        </is>
      </c>
      <c r="F70" s="44" t="inlineStr">
        <is>
          <t>60s</t>
        </is>
      </c>
      <c r="G70" s="45" t="inlineStr">
        <is>
          <t>Lễ tưởng niệm, chia sẻ mất mát, câu chuyện thương tâm, hoài niệm xúc động</t>
        </is>
      </c>
      <c r="H70" s="48" t="inlineStr">
        <is>
          <t>눈,코,입 (Eyes, Nose, Lips) [659538].mp3</t>
        </is>
      </c>
      <c r="I70" s="49" t="inlineStr">
        <is>
          <t>--nhac "눈,코,입 (Eyes, Nose, Lips)"</t>
        </is>
      </c>
      <c r="J70" s="50">
        <f>HYPERLINK("https://www.tiktok.com/@wannalisten2tunes/video/7512008246555659538", "🔗 Link TikTok")</f>
        <v/>
      </c>
    </row>
    <row r="71" ht="24" customHeight="1">
      <c r="A71" s="51" t="n">
        <v>68</v>
      </c>
      <c r="B71" s="52" t="inlineStr">
        <is>
          <t>Tin Giải Trí (Meme)</t>
        </is>
      </c>
      <c r="C71" s="53" t="inlineStr">
        <is>
          <t>Chinese Story Voice</t>
        </is>
      </c>
      <c r="D71" s="54">
        <f>HYPERLINK("file:///Users/phuongpham/Downloads/Tool/TÀI NGUYÊN EDIT/04. KHO NHẠC NỀN ĐÃ PHÂN LOẠI (7 THỂ LOẠI VIRAL TIKTOK)/05. Tin Giải Trí Meme &amp; Hài Hước (17 Bài)/Chinese Story Voice [169365].mp3", "▶️ Bấm Nghe Thử")</f>
        <v/>
      </c>
      <c r="E71" s="52" t="inlineStr">
        <is>
          <t>Victor Cee</t>
        </is>
      </c>
      <c r="F71" s="51" t="inlineStr">
        <is>
          <t>15s</t>
        </is>
      </c>
      <c r="G71" s="52" t="inlineStr">
        <is>
          <t>Chuyện lạ đó đây, tình huống dở khóc dở cười, phản ứng meme troll lầy lội</t>
        </is>
      </c>
      <c r="H71" s="55" t="inlineStr">
        <is>
          <t>Chinese Story Voice [169365].mp3</t>
        </is>
      </c>
      <c r="I71" s="56" t="inlineStr">
        <is>
          <t>--nhac "Chinese Story Voice"</t>
        </is>
      </c>
      <c r="J71" s="57">
        <f>HYPERLINK("https://www.tiktok.com/@bucket_master1/video/7610728373358169365", "🔗 Link TikTok")</f>
        <v/>
      </c>
    </row>
    <row r="72" ht="24" customHeight="1">
      <c r="A72" s="44" t="n">
        <v>69</v>
      </c>
      <c r="B72" s="45" t="inlineStr">
        <is>
          <t>Tin Giải Trí (Meme)</t>
        </is>
      </c>
      <c r="C72" s="46" t="inlineStr">
        <is>
          <t>Cảm ơn anh độ Mixi nhưng QNT cảm ơn bằng nhạc Trung Quốc Women jin lờ.</t>
        </is>
      </c>
      <c r="D72" s="47">
        <f>HYPERLINK("file:///Users/phuongpham/Downloads/Tool/TÀI NGUYÊN EDIT/04. KHO NHẠC NỀN ĐÃ PHÂN LOẠI (7 THỂ LOẠI VIRAL TIKTOK)/05. Tin Giải Trí Meme &amp; Hài Hước (17 Bài)/Cảm ơn anh độ Mixi nhưng QNT cảm ơn bằng nhạc Trung Quốc Women jin lờ. [550548].mp3", "▶️ Bấm Nghe Thử")</f>
        <v/>
      </c>
      <c r="E72" s="45" t="inlineStr">
        <is>
          <t>Phục Chế Nhạc Căng Nhất 2026</t>
        </is>
      </c>
      <c r="F72" s="44" t="inlineStr">
        <is>
          <t>28s</t>
        </is>
      </c>
      <c r="G72" s="45" t="inlineStr">
        <is>
          <t>Chuyện lạ đó đây, tình huống dở khóc dở cười, phản ứng meme troll lầy lội</t>
        </is>
      </c>
      <c r="H72" s="48" t="inlineStr">
        <is>
          <t>Cảm ơn anh độ Mixi nhưng QNT cảm ơn bằng nhạc Trung Quốc Women jin lờ. [550548].mp3</t>
        </is>
      </c>
      <c r="I72" s="49" t="inlineStr">
        <is>
          <t>--nhac "Cảm ơn anh độ Mixi nhưng QNT cảm ơn bằng nhạc Trung Quốc Women jin lờ."</t>
        </is>
      </c>
      <c r="J72" s="50">
        <f>HYPERLINK("https://www.tiktok.com/@phucchenhaccangnhat2026/video/7617637262154550548", "🔗 Link TikTok")</f>
        <v/>
      </c>
    </row>
    <row r="73" ht="24" customHeight="1">
      <c r="A73" s="51" t="n">
        <v>70</v>
      </c>
      <c r="B73" s="52" t="inlineStr">
        <is>
          <t>Tin Giải Trí (Meme)</t>
        </is>
      </c>
      <c r="C73" s="53" t="inlineStr">
        <is>
          <t>Funny Viral Music for TikToks, Reels, and Shorts Nintendo Wii Mii T...</t>
        </is>
      </c>
      <c r="D73" s="54">
        <f>HYPERLINK("file:///Users/phuongpham/Downloads/Tool/TÀI NGUYÊN EDIT/04. KHO NHẠC NỀN ĐÃ PHÂN LOẠI (7 THỂ LOẠI VIRAL TIKTOK)/05. Tin Giải Trí Meme &amp; Hài Hước (17 Bài)/Funny Viral Music for TikToks, Reels, and Shorts Nintendo Wii Mii T... [568645].mp3", "▶️ Bấm Nghe Thử")</f>
        <v/>
      </c>
      <c r="E73" s="52" t="inlineStr">
        <is>
          <t>Viral Music Hits</t>
        </is>
      </c>
      <c r="F73" s="51" t="inlineStr">
        <is>
          <t>56s</t>
        </is>
      </c>
      <c r="G73" s="52" t="inlineStr">
        <is>
          <t>Chuyện lạ đó đây, tình huống dở khóc dở cười, phản ứng meme troll lầy lội</t>
        </is>
      </c>
      <c r="H73" s="55" t="inlineStr">
        <is>
          <t>Funny Viral Music for TikToks, Reels, and Shorts Nintendo Wii Mii T... [568645].mp3</t>
        </is>
      </c>
      <c r="I73" s="56" t="inlineStr">
        <is>
          <t>--nhac "Funny Viral Music for TikToks, Reels, and Shorts Nintendo Wii Mii T..."</t>
        </is>
      </c>
      <c r="J73" s="57">
        <f>HYPERLINK("https://www.tiktok.com/@viralmusichitsofficial/video/7492183035207568645", "🔗 Link TikTok")</f>
        <v/>
      </c>
    </row>
    <row r="74" ht="24" customHeight="1">
      <c r="A74" s="44" t="n">
        <v>71</v>
      </c>
      <c r="B74" s="45" t="inlineStr">
        <is>
          <t>Tin Giải Trí (Meme)</t>
        </is>
      </c>
      <c r="C74" s="46" t="inlineStr">
        <is>
          <t>Funny Viral Music for TikToks, Reels, and Shorts Scheming Weasel ...</t>
        </is>
      </c>
      <c r="D74" s="47">
        <f>HYPERLINK("file:///Users/phuongpham/Downloads/Tool/TÀI NGUYÊN EDIT/04. KHO NHẠC NỀN ĐÃ PHÂN LOẠI (7 THỂ LOẠI VIRAL TIKTOK)/05. Tin Giải Trí Meme &amp; Hài Hước (17 Bài)/Funny Viral Music for TikToks, Reels, and Shorts Scheming Weasel ... [428491].mp3", "▶️ Bấm Nghe Thử")</f>
        <v/>
      </c>
      <c r="E74" s="45" t="inlineStr">
        <is>
          <t>Viral Music Hits</t>
        </is>
      </c>
      <c r="F74" s="44" t="inlineStr">
        <is>
          <t>57s</t>
        </is>
      </c>
      <c r="G74" s="45" t="inlineStr">
        <is>
          <t>Chuyện lạ đó đây, tình huống dở khóc dở cười, phản ứng meme troll lầy lội</t>
        </is>
      </c>
      <c r="H74" s="48" t="inlineStr">
        <is>
          <t>Funny Viral Music for TikToks, Reels, and Shorts Scheming Weasel ... [428491].mp3</t>
        </is>
      </c>
      <c r="I74" s="49" t="inlineStr">
        <is>
          <t>--nhac "Funny Viral Music for TikToks, Reels, and Shorts Scheming Weasel ..."</t>
        </is>
      </c>
      <c r="J74" s="50">
        <f>HYPERLINK("https://www.tiktok.com/@viralmusichitsofficial/video/7580172181221428491", "🔗 Link TikTok")</f>
        <v/>
      </c>
    </row>
    <row r="75" ht="24" customHeight="1">
      <c r="A75" s="51" t="n">
        <v>72</v>
      </c>
      <c r="B75" s="52" t="inlineStr">
        <is>
          <t>Tin Giải Trí (Meme)</t>
        </is>
      </c>
      <c r="C75" s="53" t="inlineStr">
        <is>
          <t>Piano famous song Chopin Deep deep clear beauty</t>
        </is>
      </c>
      <c r="D75" s="54">
        <f>HYPERLINK("file:///Users/phuongpham/Downloads/Tool/TÀI NGUYÊN EDIT/04. KHO NHẠC NỀN ĐÃ PHÂN LOẠI (7 THỂ LOẠI VIRAL TIKTOK)/05. Tin Giải Trí Meme &amp; Hài Hước (17 Bài)/Piano famous song Chopin Deep deep clear beauty [671431].mp3", "▶️ Bấm Nghe Thử")</f>
        <v/>
      </c>
      <c r="E75" s="52" t="inlineStr">
        <is>
          <t>RYOpianoforte</t>
        </is>
      </c>
      <c r="F75" s="51" t="inlineStr">
        <is>
          <t>111s</t>
        </is>
      </c>
      <c r="G75" s="52" t="inlineStr">
        <is>
          <t>Chuyện lạ đó đây, tình huống dở khóc dở cười, phản ứng meme troll lầy lội</t>
        </is>
      </c>
      <c r="H75" s="55" t="inlineStr">
        <is>
          <t>Piano famous song Chopin Deep deep clear beauty [671431].mp3</t>
        </is>
      </c>
      <c r="I75" s="56" t="inlineStr">
        <is>
          <t>--nhac "Piano famous song Chopin Deep deep clear beauty"</t>
        </is>
      </c>
      <c r="J75" s="57">
        <f>HYPERLINK("https://www.tiktok.com/@cubination_player3/video/7564017428657671431", "🔗 Link TikTok")</f>
        <v/>
      </c>
    </row>
    <row r="76" ht="24" customHeight="1">
      <c r="A76" s="44" t="n">
        <v>73</v>
      </c>
      <c r="B76" s="45" t="inlineStr">
        <is>
          <t>Tin Giải Trí (Meme)</t>
        </is>
      </c>
      <c r="C76" s="46" t="inlineStr">
        <is>
          <t>Sound Nhạc Meme</t>
        </is>
      </c>
      <c r="D76" s="47">
        <f>HYPERLINK("file:///Users/phuongpham/Downloads/Tool/TÀI NGUYÊN EDIT/04. KHO NHẠC NỀN ĐÃ PHÂN LOẠI (7 THỂ LOẠI VIRAL TIKTOK)/05. Tin Giải Trí Meme &amp; Hài Hước (17 Bài)/Sound Nhạc Meme [209834].mp3", "▶️ Bấm Nghe Thử")</f>
        <v/>
      </c>
      <c r="E76" s="45" t="inlineStr">
        <is>
          <t>aryaseriouslol</t>
        </is>
      </c>
      <c r="F76" s="44" t="inlineStr">
        <is>
          <t>11s</t>
        </is>
      </c>
      <c r="G76" s="45" t="inlineStr">
        <is>
          <t>Chuyện lạ đó đây, tình huống dở khóc dở cười, phản ứng meme troll lầy lội</t>
        </is>
      </c>
      <c r="H76" s="48" t="inlineStr">
        <is>
          <t>Sound Nhạc Meme [209834].mp3</t>
        </is>
      </c>
      <c r="I76" s="49" t="inlineStr">
        <is>
          <t>--nhac "Sound Nhạc Meme"</t>
        </is>
      </c>
      <c r="J76" s="50">
        <f>HYPERLINK("https://www.tiktok.com/@aryaseriouslol/video/7450569026998209834", "🔗 Link TikTok")</f>
        <v/>
      </c>
    </row>
    <row r="77" ht="24" customHeight="1">
      <c r="A77" s="51" t="n">
        <v>74</v>
      </c>
      <c r="B77" s="52" t="inlineStr">
        <is>
          <t>Tin Giải Trí (Meme)</t>
        </is>
      </c>
      <c r="C77" s="53" t="inlineStr">
        <is>
          <t>new banger</t>
        </is>
      </c>
      <c r="D77" s="54">
        <f>HYPERLINK("file:///Users/phuongpham/Downloads/Tool/TÀI NGUYÊN EDIT/04. KHO NHẠC NỀN ĐÃ PHÂN LOẠI (7 THỂ LOẠI VIRAL TIKTOK)/05. Tin Giải Trí Meme &amp; Hài Hước (17 Bài)/new banger [398102].mp3", "▶️ Bấm Nghe Thử")</f>
        <v/>
      </c>
      <c r="E77" s="52" t="inlineStr">
        <is>
          <t>𝘰𝘭𝘪𝘷𝘦𝘳.</t>
        </is>
      </c>
      <c r="F77" s="51" t="inlineStr">
        <is>
          <t>28s</t>
        </is>
      </c>
      <c r="G77" s="52" t="inlineStr">
        <is>
          <t>Chuyện lạ đó đây, tình huống dở khóc dở cười, phản ứng meme troll lầy lội</t>
        </is>
      </c>
      <c r="H77" s="55" t="inlineStr">
        <is>
          <t>new banger [398102].mp3</t>
        </is>
      </c>
      <c r="I77" s="56" t="inlineStr">
        <is>
          <t>--nhac "new banger"</t>
        </is>
      </c>
      <c r="J77" s="57">
        <f>HYPERLINK("https://www.tiktok.com/@mu_official09/video/7649337918376398102", "🔗 Link TikTok")</f>
        <v/>
      </c>
    </row>
    <row r="78" ht="24" customHeight="1">
      <c r="A78" s="44" t="n">
        <v>75</v>
      </c>
      <c r="B78" s="45" t="inlineStr">
        <is>
          <t>Tin Giải Trí (Meme)</t>
        </is>
      </c>
      <c r="C78" s="46" t="inlineStr">
        <is>
          <t>idea   bịp</t>
        </is>
      </c>
      <c r="D78" s="47">
        <f>HYPERLINK("file:///Users/phuongpham/Downloads/Tool/TÀI NGUYÊN EDIT/04. KHO NHẠC NỀN ĐÃ PHÂN LOẠI (7 THỂ LOẠI VIRAL TIKTOK)/05. Tin Giải Trí Meme &amp; Hài Hước (17 Bài)/nhạc nền - Boo [731777].mp3", "▶️ Bấm Nghe Thử")</f>
        <v/>
      </c>
      <c r="E78" s="45" t="inlineStr">
        <is>
          <t>traideparap</t>
        </is>
      </c>
      <c r="F78" s="44" t="inlineStr">
        <is>
          <t>30s</t>
        </is>
      </c>
      <c r="G78" s="45" t="inlineStr">
        <is>
          <t>Chuyện lạ đó đây, tình huống dở khóc dở cười, phản ứng meme troll lầy lội</t>
        </is>
      </c>
      <c r="H78" s="48" t="inlineStr">
        <is>
          <t>nhạc nền - Boo [731777].mp3</t>
        </is>
      </c>
      <c r="I78" s="49" t="inlineStr">
        <is>
          <t>--nhac "idea   bịp"</t>
        </is>
      </c>
      <c r="J78" s="50">
        <f>HYPERLINK("https://www.tiktok.com/@boofi1m/video/7343271310010731777", "🔗 Link TikTok")</f>
        <v/>
      </c>
    </row>
    <row r="79" ht="24" customHeight="1">
      <c r="A79" s="51" t="n">
        <v>76</v>
      </c>
      <c r="B79" s="52" t="inlineStr">
        <is>
          <t>Tin Giải Trí (Meme)</t>
        </is>
      </c>
      <c r="C79" s="53" t="inlineStr">
        <is>
          <t>Lip Inc. - Funkytown Flute Fail - Meme Sound - Fun</t>
        </is>
      </c>
      <c r="D79" s="54">
        <f>HYPERLINK("file:///Users/phuongpham/Downloads/Tool/TÀI NGUYÊN EDIT/04. KHO NHẠC NỀN ĐÃ PHÂN LOẠI (7 THỂ LOẠI VIRAL TIKTOK)/05. Tin Giải Trí Meme &amp; Hài Hước (17 Bài)/nhạc nền - Kayhin Music [148628].mp3", "▶️ Bấm Nghe Thử")</f>
        <v/>
      </c>
      <c r="E79" s="52" t="inlineStr">
        <is>
          <t>Kayhin Music</t>
        </is>
      </c>
      <c r="F79" s="51" t="inlineStr">
        <is>
          <t>110s</t>
        </is>
      </c>
      <c r="G79" s="52" t="inlineStr">
        <is>
          <t>Chuyện lạ đó đây, tình huống dở khóc dở cười, phản ứng meme troll lầy lội</t>
        </is>
      </c>
      <c r="H79" s="55" t="inlineStr">
        <is>
          <t>nhạc nền - Kayhin Music [148628].mp3</t>
        </is>
      </c>
      <c r="I79" s="56" t="inlineStr">
        <is>
          <t>--nhac "Lip Inc. - Funkytown Flute Fail - Meme Sound - Fun"</t>
        </is>
      </c>
      <c r="J79" s="57">
        <f>HYPERLINK("https://www.tiktok.com/@kayhinmusic/video/7581419301266148628", "🔗 Link TikTok")</f>
        <v/>
      </c>
    </row>
    <row r="80" ht="24" customHeight="1">
      <c r="A80" s="44" t="n">
        <v>77</v>
      </c>
      <c r="B80" s="45" t="inlineStr">
        <is>
          <t>Tin Giải Trí (Meme)</t>
        </is>
      </c>
      <c r="C80" s="46" t="inlineStr">
        <is>
          <t>chào em tui là anh chàng thư giãn...</t>
        </is>
      </c>
      <c r="D80" s="47">
        <f>HYPERLINK("file:///Users/phuongpham/Downloads/Tool/TÀI NGUYÊN EDIT/04. KHO NHẠC NỀN ĐÃ PHÂN LOẠI (7 THỂ LOẠI VIRAL TIKTOK)/05. Tin Giải Trí Meme &amp; Hài Hước (17 Bài)/nhạc nền - music chill [562002].mp3", "▶️ Bấm Nghe Thử")</f>
        <v/>
      </c>
      <c r="E80" s="45" t="inlineStr">
        <is>
          <t>NamNguyễn🍀</t>
        </is>
      </c>
      <c r="F80" s="44" t="inlineStr">
        <is>
          <t>20s</t>
        </is>
      </c>
      <c r="G80" s="45" t="inlineStr">
        <is>
          <t>Chuyện lạ đó đây, tình huống dở khóc dở cười, phản ứng meme troll lầy lội</t>
        </is>
      </c>
      <c r="H80" s="48" t="inlineStr">
        <is>
          <t>nhạc nền - music chill [562002].mp3</t>
        </is>
      </c>
      <c r="I80" s="49" t="inlineStr">
        <is>
          <t>--nhac "chào em tui là anh chàng thư giãn..."</t>
        </is>
      </c>
      <c r="J80" s="50">
        <f>HYPERLINK("https://www.tiktok.com/@nguyn.tr.phng.nam/video/7441604050543562002", "🔗 Link TikTok")</f>
        <v/>
      </c>
    </row>
    <row r="81" ht="24" customHeight="1">
      <c r="A81" s="51" t="n">
        <v>78</v>
      </c>
      <c r="B81" s="52" t="inlineStr">
        <is>
          <t>Tin Giải Trí (Meme)</t>
        </is>
      </c>
      <c r="C81" s="53" t="inlineStr">
        <is>
          <t>1000 social credit</t>
        </is>
      </c>
      <c r="D81" s="54">
        <f>HYPERLINK("file:///Users/phuongpham/Downloads/Tool/TÀI NGUYÊN EDIT/04. KHO NHẠC NỀN ĐÃ PHÂN LOẠI (7 THỂ LOẠI VIRAL TIKTOK)/05. Tin Giải Trí Meme &amp; Hài Hước (17 Bài)/nhạc nền - Ẩm Thực Trung Hoa [160072].mp3", "▶️ Bấm Nghe Thử")</f>
        <v/>
      </c>
      <c r="E81" s="52" t="inlineStr">
        <is>
          <t>Ẩm Thực Trung Hoa</t>
        </is>
      </c>
      <c r="F81" s="51" t="inlineStr">
        <is>
          <t>153s</t>
        </is>
      </c>
      <c r="G81" s="52" t="inlineStr">
        <is>
          <t>Chuyện lạ đó đây, tình huống dở khóc dở cười, phản ứng meme troll lầy lội</t>
        </is>
      </c>
      <c r="H81" s="55" t="inlineStr">
        <is>
          <t>nhạc nền - Ẩm Thực Trung Hoa [160072].mp3</t>
        </is>
      </c>
      <c r="I81" s="56" t="inlineStr">
        <is>
          <t>--nhac "1000 social credit"</t>
        </is>
      </c>
      <c r="J81" s="57">
        <f>HYPERLINK("https://www.tiktok.com/@jaygameslol/video/7410358138295160072", "🔗 Link TikTok")</f>
        <v/>
      </c>
    </row>
    <row r="82" ht="24" customHeight="1">
      <c r="A82" s="44" t="n">
        <v>79</v>
      </c>
      <c r="B82" s="45" t="inlineStr">
        <is>
          <t>Tin Giải Trí (Meme)</t>
        </is>
      </c>
      <c r="C82" s="46" t="inlineStr">
        <is>
          <t>Learn Chinese with viral song  生气了   Learn casual</t>
        </is>
      </c>
      <c r="D82" s="47">
        <f>HYPERLINK("file:///Users/phuongpham/Downloads/Tool/TÀI NGUYÊN EDIT/04. KHO NHẠC NỀN ĐÃ PHÂN LOẠI (7 THỂ LOẠI VIRAL TIKTOK)/05. Tin Giải Trí Meme &amp; Hài Hước (17 Bài)/original sound - Jay [653342].mp3", "▶️ Bấm Nghe Thử")</f>
        <v/>
      </c>
      <c r="E82" s="45" t="inlineStr">
        <is>
          <t>Jay PinkHelmet Sings🎤</t>
        </is>
      </c>
      <c r="F82" s="44" t="inlineStr">
        <is>
          <t>47s</t>
        </is>
      </c>
      <c r="G82" s="45" t="inlineStr">
        <is>
          <t>Chuyện lạ đó đây, tình huống dở khóc dở cười, phản ứng meme troll lầy lội</t>
        </is>
      </c>
      <c r="H82" s="48" t="inlineStr">
        <is>
          <t>original sound - Jay [653342].mp3</t>
        </is>
      </c>
      <c r="I82" s="49" t="inlineStr">
        <is>
          <t>--nhac "Learn Chinese with viral song  生气了   Learn casual"</t>
        </is>
      </c>
      <c r="J82" s="50">
        <f>HYPERLINK("https://www.tiktok.com/@livaeasychinese/video/7670191044532653342", "🔗 Link TikTok")</f>
        <v/>
      </c>
    </row>
    <row r="83" ht="24" customHeight="1">
      <c r="A83" s="51" t="n">
        <v>80</v>
      </c>
      <c r="B83" s="52" t="inlineStr">
        <is>
          <t>Tin Giải Trí (Meme)</t>
        </is>
      </c>
      <c r="C83" s="53" t="inlineStr">
        <is>
          <t>Choi Yu Ree - Wish  . . . . . . . .</t>
        </is>
      </c>
      <c r="D83" s="54">
        <f>HYPERLINK("file:///Users/phuongpham/Downloads/Tool/TÀI NGUYÊN EDIT/04. KHO NHẠC NỀN ĐÃ PHÂN LOẠI (7 THỂ LOẠI VIRAL TIKTOK)/05. Tin Giải Trí Meme &amp; Hài Hước (17 Bài)/som original [900997].mp3", "▶️ Bấm Nghe Thử")</f>
        <v/>
      </c>
      <c r="E83" s="52" t="inlineStr">
        <is>
          <t>Edson_traduzpravoce</t>
        </is>
      </c>
      <c r="F83" s="51" t="inlineStr">
        <is>
          <t>29s</t>
        </is>
      </c>
      <c r="G83" s="52" t="inlineStr">
        <is>
          <t>Chuyện lạ đó đây, tình huống dở khóc dở cười, phản ứng meme troll lầy lội</t>
        </is>
      </c>
      <c r="H83" s="55" t="inlineStr">
        <is>
          <t>som original [900997].mp3</t>
        </is>
      </c>
      <c r="I83" s="56" t="inlineStr">
        <is>
          <t>--nhac "Choi Yu Ree - Wish  . . . . . . . ."</t>
        </is>
      </c>
      <c r="J83" s="57">
        <f>HYPERLINK("https://www.tiktok.com/@edson_traduzpravoce/video/7397513708550900997", "🔗 Link TikTok")</f>
        <v/>
      </c>
    </row>
    <row r="84" ht="24" customHeight="1">
      <c r="A84" s="44" t="n">
        <v>81</v>
      </c>
      <c r="B84" s="45" t="inlineStr">
        <is>
          <t>Tin Giải Trí (Meme)</t>
        </is>
      </c>
      <c r="C84" s="46" t="inlineStr">
        <is>
          <t>French Meme Song - Meme Sound Effect  Thanks for w</t>
        </is>
      </c>
      <c r="D84" s="47">
        <f>HYPERLINK("file:///Users/phuongpham/Downloads/Tool/TÀI NGUYÊN EDIT/04. KHO NHẠC NỀN ĐÃ PHÂN LOẠI (7 THỂ LOẠI VIRAL TIKTOK)/05. Tin Giải Trí Meme &amp; Hài Hước (17 Bài)/suara asli - Meme Effect Only [110098].mp3", "▶️ Bấm Nghe Thử")</f>
        <v/>
      </c>
      <c r="E84" s="45" t="inlineStr">
        <is>
          <t>abriliya</t>
        </is>
      </c>
      <c r="F84" s="44" t="inlineStr">
        <is>
          <t>14s</t>
        </is>
      </c>
      <c r="G84" s="45" t="inlineStr">
        <is>
          <t>Chuyện lạ đó đây, tình huống dở khóc dở cười, phản ứng meme troll lầy lội</t>
        </is>
      </c>
      <c r="H84" s="48" t="inlineStr">
        <is>
          <t>suara asli - Meme Effect Only [110098].mp3</t>
        </is>
      </c>
      <c r="I84" s="49" t="inlineStr">
        <is>
          <t>--nhac "French Meme Song - Meme Sound Effect  Thanks for w"</t>
        </is>
      </c>
      <c r="J84" s="50">
        <f>HYPERLINK("https://www.tiktok.com/@abrillyasan/video/7369431826844110098", "🔗 Link TikTok")</f>
        <v/>
      </c>
    </row>
    <row r="85" ht="24" customHeight="1">
      <c r="A85" s="51" t="n">
        <v>82</v>
      </c>
      <c r="B85" s="52" t="inlineStr">
        <is>
          <t>Tin Giải Trí (Meme)</t>
        </is>
      </c>
      <c r="C85" s="53" t="inlineStr">
        <is>
          <t>เส ยงต นฉบ บ - เพลงรวม Mix songs</t>
        </is>
      </c>
      <c r="D85" s="54">
        <f>HYPERLINK("file:///Users/phuongpham/Downloads/Tool/TÀI NGUYÊN EDIT/04. KHO NHẠC NỀN ĐÃ PHÂN LOẠI (7 THỂ LOẠI VIRAL TIKTOK)/05. Tin Giải Trí Meme &amp; Hài Hước (17 Bài)/เส ยงต นฉบ บ - เพลงรวม Mix songs [576333].mp3", "▶️ Bấm Nghe Thử")</f>
        <v/>
      </c>
      <c r="E85" s="52" t="inlineStr">
        <is>
          <t>NoNo 🐜🐜</t>
        </is>
      </c>
      <c r="F85" s="51" t="inlineStr">
        <is>
          <t>37s</t>
        </is>
      </c>
      <c r="G85" s="52" t="inlineStr">
        <is>
          <t>Chuyện lạ đó đây, tình huống dở khóc dở cười, phản ứng meme troll lầy lội</t>
        </is>
      </c>
      <c r="H85" s="55" t="inlineStr">
        <is>
          <t>เส ยงต นฉบ บ - เพลงรวม Mix songs [576333].mp3</t>
        </is>
      </c>
      <c r="I85" s="56" t="inlineStr">
        <is>
          <t>--nhac "เส ยงต นฉบ บ - เพลงรวม Mix songs"</t>
        </is>
      </c>
      <c r="J85" s="57">
        <f>HYPERLINK("https://www.tiktok.com/@shaggy_and_carl_dance/video/7637280218767576333", "🔗 Link TikTok")</f>
        <v/>
      </c>
    </row>
    <row r="86" ht="24" customHeight="1">
      <c r="A86" s="44" t="n">
        <v>83</v>
      </c>
      <c r="B86" s="45" t="inlineStr">
        <is>
          <t>Tin Giải Trí (Meme)</t>
        </is>
      </c>
      <c r="C86" s="46" t="inlineStr">
        <is>
          <t>Nhất Tiễn Mai (一剪梅 - Xue Hua Piao Piao)</t>
        </is>
      </c>
      <c r="D86" s="47">
        <f>HYPERLINK("file:///Users/phuongpham/Downloads/Tool/TÀI NGUYÊN EDIT/04. KHO NHẠC NỀN ĐÃ PHÂN LOẠI (7 THỂ LOẠI VIRAL TIKTOK)/05. Tin Giải Trí Meme &amp; Hài Hước (17 Bài)/一剪梅 [308549].mp3", "▶️ Bấm Nghe Thử")</f>
        <v/>
      </c>
      <c r="E86" s="45" t="inlineStr">
        <is>
          <t>乔军</t>
        </is>
      </c>
      <c r="F86" s="44" t="inlineStr">
        <is>
          <t>12s</t>
        </is>
      </c>
      <c r="G86" s="45" t="inlineStr">
        <is>
          <t>Chuyện lạ đó đây, tình huống dở khóc dở cười, phản ứng meme troll lầy lội</t>
        </is>
      </c>
      <c r="H86" s="48" t="inlineStr">
        <is>
          <t>一剪梅 [308549].mp3</t>
        </is>
      </c>
      <c r="I86" s="49" t="inlineStr">
        <is>
          <t>--nhac "Nhất Tiễn Mai (一剪梅 - Xue Hua Piao Piao)"</t>
        </is>
      </c>
      <c r="J86" s="50">
        <f>HYPERLINK("https://www.tiktok.com/@light.wisp/video/7370578785831308549", "🔗 Link TikTok")</f>
        <v/>
      </c>
    </row>
    <row r="87" ht="24" customHeight="1">
      <c r="A87" s="51" t="n">
        <v>84</v>
      </c>
      <c r="B87" s="52" t="inlineStr">
        <is>
          <t>Tin Giải Trí (Meme)</t>
        </is>
      </c>
      <c r="C87" s="53" t="inlineStr">
        <is>
          <t>Sound Nhạc Meme</t>
        </is>
      </c>
      <c r="D87" s="54">
        <f>HYPERLINK("file:///Users/phuongpham/Downloads/Tool/TÀI NGUYÊN EDIT/04. KHO NHẠC NỀN ĐÃ PHÂN LOẠI (7 THỂ LOẠI VIRAL TIKTOK)/05. Tin Giải Trí Meme &amp; Hài Hước (17 Bài)/오리지널 사운드 - hololive Fan [736706].mp3", "▶️ Bấm Nghe Thử")</f>
        <v/>
      </c>
      <c r="E87" s="52" t="inlineStr">
        <is>
          <t>Fan</t>
        </is>
      </c>
      <c r="F87" s="51" t="inlineStr">
        <is>
          <t>23s</t>
        </is>
      </c>
      <c r="G87" s="52" t="inlineStr">
        <is>
          <t>Chuyện lạ đó đây, tình huống dở khóc dở cười, phản ứng meme troll lầy lội</t>
        </is>
      </c>
      <c r="H87" s="55" t="inlineStr">
        <is>
          <t>오리지널 사운드 - hololive Fan [736706].mp3</t>
        </is>
      </c>
      <c r="I87" s="56" t="inlineStr">
        <is>
          <t>--nhac "Sound Nhạc Meme"</t>
        </is>
      </c>
      <c r="J87" s="57">
        <f>HYPERLINK("https://www.tiktok.com/@mmdmad292/video/7041924867733736706", "🔗 Link TikTok")</f>
        <v/>
      </c>
    </row>
    <row r="88" ht="24" customHeight="1">
      <c r="A88" s="44" t="n">
        <v>85</v>
      </c>
      <c r="B88" s="45" t="inlineStr">
        <is>
          <t>Tin Giải Trí (Trend Showbiz)</t>
        </is>
      </c>
      <c r="C88" s="46" t="inlineStr">
        <is>
          <t>2 Phút Hơn (KAIZ Remix)</t>
        </is>
      </c>
      <c r="D88" s="47">
        <f>HYPERLINK("file:///Users/phuongpham/Downloads/Tool/TÀI NGUYÊN EDIT/04. KHO NHẠC NỀN ĐÃ PHÂN LOẠI (7 THỂ LOẠI VIRAL TIKTOK)/06. Tin Giải Trí Trend &amp; Showbiz (23 Bài)/2 Phút Hơn (KAIZ Remix) [980423].mp3", "▶️ Bấm Nghe Thử")</f>
        <v/>
      </c>
      <c r="E88" s="45" t="inlineStr">
        <is>
          <t>Pháo</t>
        </is>
      </c>
      <c r="F88" s="44" t="inlineStr">
        <is>
          <t>20s</t>
        </is>
      </c>
      <c r="G88" s="45" t="inlineStr">
        <is>
          <t>Tin sao showbiz, concert, sự kiện âm nhạc, trào lưu GenZ, thể thao</t>
        </is>
      </c>
      <c r="H88" s="48" t="inlineStr">
        <is>
          <t>2 Phút Hơn (KAIZ Remix) [980423].mp3</t>
        </is>
      </c>
      <c r="I88" s="49" t="inlineStr">
        <is>
          <t>--nhac "2 Phút Hơn (KAIZ Remix)"</t>
        </is>
      </c>
      <c r="J88" s="50">
        <f>HYPERLINK("https://www.tiktok.com/@mikasa1glazer/video/7641439233973980423", "🔗 Link TikTok")</f>
        <v/>
      </c>
    </row>
    <row r="89" ht="24" customHeight="1">
      <c r="A89" s="51" t="n">
        <v>86</v>
      </c>
      <c r="B89" s="52" t="inlineStr">
        <is>
          <t>Tin Giải Trí (Trend Showbiz)</t>
        </is>
      </c>
      <c r="C89" s="53" t="inlineStr">
        <is>
          <t>CHẠY NGAY ĐI</t>
        </is>
      </c>
      <c r="D89" s="54">
        <f>HYPERLINK("file:///Users/phuongpham/Downloads/Tool/TÀI NGUYÊN EDIT/04. KHO NHẠC NỀN ĐÃ PHÂN LOẠI (7 THỂ LOẠI VIRAL TIKTOK)/06. Tin Giải Trí Trend &amp; Showbiz (23 Bài)/CHẠY NGAY ĐI [484552].mp3", "▶️ Bấm Nghe Thử")</f>
        <v/>
      </c>
      <c r="E89" s="52" t="inlineStr">
        <is>
          <t>Sơn Tùng M-TP</t>
        </is>
      </c>
      <c r="F89" s="51" t="inlineStr">
        <is>
          <t>217s</t>
        </is>
      </c>
      <c r="G89" s="52" t="inlineStr">
        <is>
          <t>Tin sao showbiz, concert, sự kiện âm nhạc, trào lưu GenZ, thể thao</t>
        </is>
      </c>
      <c r="H89" s="55" t="inlineStr">
        <is>
          <t>CHẠY NGAY ĐI [484552].mp3</t>
        </is>
      </c>
      <c r="I89" s="56" t="inlineStr">
        <is>
          <t>--nhac "CHẠY NGAY ĐI"</t>
        </is>
      </c>
      <c r="J89" s="57">
        <f>HYPERLINK("https://www.tiktok.com/@3008tungmusic/video/7281878333145484552", "🔗 Link TikTok")</f>
        <v/>
      </c>
    </row>
    <row r="90" ht="24" customHeight="1">
      <c r="A90" s="44" t="n">
        <v>87</v>
      </c>
      <c r="B90" s="45" t="inlineStr">
        <is>
          <t>Tin Giải Trí (Trend Showbiz)</t>
        </is>
      </c>
      <c r="C90" s="46" t="inlineStr">
        <is>
          <t>CÓ CHẮC YÊU LÀ ĐÂY</t>
        </is>
      </c>
      <c r="D90" s="47">
        <f>HYPERLINK("file:///Users/phuongpham/Downloads/Tool/TÀI NGUYÊN EDIT/04. KHO NHẠC NỀN ĐÃ PHÂN LOẠI (7 THỂ LOẠI VIRAL TIKTOK)/06. Tin Giải Trí Trend &amp; Showbiz (23 Bài)/CÓ CHẮC YÊU LÀ ĐÂY [630546].mp3", "▶️ Bấm Nghe Thử")</f>
        <v/>
      </c>
      <c r="E90" s="45" t="inlineStr">
        <is>
          <t>Sơn Tùng M-TP</t>
        </is>
      </c>
      <c r="F90" s="44" t="inlineStr">
        <is>
          <t>59s</t>
        </is>
      </c>
      <c r="G90" s="45" t="inlineStr">
        <is>
          <t>Tin sao showbiz, concert, sự kiện âm nhạc, trào lưu GenZ, thể thao</t>
        </is>
      </c>
      <c r="H90" s="48" t="inlineStr">
        <is>
          <t>CÓ CHẮC YÊU LÀ ĐÂY [630546].mp3</t>
        </is>
      </c>
      <c r="I90" s="49" t="inlineStr">
        <is>
          <t>--nhac "CÓ CHẮC YÊU LÀ ĐÂY"</t>
        </is>
      </c>
      <c r="J90" s="50">
        <f>HYPERLINK("https://www.tiktok.com/@luongnghia42/video/7536504426232630546", "🔗 Link TikTok")</f>
        <v/>
      </c>
    </row>
    <row r="91" ht="24" customHeight="1">
      <c r="A91" s="51" t="n">
        <v>88</v>
      </c>
      <c r="B91" s="52" t="inlineStr">
        <is>
          <t>Tin Giải Trí (Trend Showbiz)</t>
        </is>
      </c>
      <c r="C91" s="53" t="inlineStr">
        <is>
          <t>Em Xinh</t>
        </is>
      </c>
      <c r="D91" s="54">
        <f>HYPERLINK("file:///Users/phuongpham/Downloads/Tool/TÀI NGUYÊN EDIT/04. KHO NHẠC NỀN ĐÃ PHÂN LOẠI (7 THỂ LOẠI VIRAL TIKTOK)/06. Tin Giải Trí Trend &amp; Showbiz (23 Bài)/Em Xinh [060871].mp3", "▶️ Bấm Nghe Thử")</f>
        <v/>
      </c>
      <c r="E91" s="52" t="inlineStr">
        <is>
          <t>MONO, Onionn.</t>
        </is>
      </c>
      <c r="F91" s="51" t="inlineStr">
        <is>
          <t>26s</t>
        </is>
      </c>
      <c r="G91" s="52" t="inlineStr">
        <is>
          <t>Tin sao showbiz, concert, sự kiện âm nhạc, trào lưu GenZ, thể thao</t>
        </is>
      </c>
      <c r="H91" s="55" t="inlineStr">
        <is>
          <t>Em Xinh [060871].mp3</t>
        </is>
      </c>
      <c r="I91" s="56" t="inlineStr">
        <is>
          <t>--nhac "Em Xinh"</t>
        </is>
      </c>
      <c r="J91" s="57">
        <f>HYPERLINK("https://www.tiktok.com/@is.tuanhh_/video/7422707384277060871", "🔗 Link TikTok")</f>
        <v/>
      </c>
    </row>
    <row r="92" ht="24" customHeight="1">
      <c r="A92" s="44" t="n">
        <v>89</v>
      </c>
      <c r="B92" s="45" t="inlineStr">
        <is>
          <t>Tin Giải Trí (Trend Showbiz)</t>
        </is>
      </c>
      <c r="C92" s="46" t="inlineStr">
        <is>
          <t>Originalton</t>
        </is>
      </c>
      <c r="D92" s="47">
        <f>HYPERLINK("file:///Users/phuongpham/Downloads/Tool/TÀI NGUYÊN EDIT/04. KHO NHẠC NỀN ĐÃ PHÂN LOẠI (7 THỂ LOẠI VIRAL TIKTOK)/06. Tin Giải Trí Trend &amp; Showbiz (23 Bài)/Originalton [711510].mp3", "▶️ Bấm Nghe Thử")</f>
        <v/>
      </c>
      <c r="E92" s="45" t="inlineStr">
        <is>
          <t>Maria</t>
        </is>
      </c>
      <c r="F92" s="44" t="inlineStr">
        <is>
          <t>27s</t>
        </is>
      </c>
      <c r="G92" s="45" t="inlineStr">
        <is>
          <t>Tin sao showbiz, concert, sự kiện âm nhạc, trào lưu GenZ, thể thao</t>
        </is>
      </c>
      <c r="H92" s="48" t="inlineStr">
        <is>
          <t>Originalton [711510].mp3</t>
        </is>
      </c>
      <c r="I92" s="49" t="inlineStr">
        <is>
          <t>--nhac "Originalton"</t>
        </is>
      </c>
      <c r="J92" s="50">
        <f>HYPERLINK("https://www.tiktok.com/@justtt.maria_/video/7463855915087711510", "🔗 Link TikTok")</f>
        <v/>
      </c>
    </row>
    <row r="93" ht="24" customHeight="1">
      <c r="A93" s="51" t="n">
        <v>90</v>
      </c>
      <c r="B93" s="52" t="inlineStr">
        <is>
          <t>Tin Giải Trí (Trend Showbiz)</t>
        </is>
      </c>
      <c r="C93" s="53" t="inlineStr">
        <is>
          <t>Pickleball</t>
        </is>
      </c>
      <c r="D93" s="54">
        <f>HYPERLINK("file:///Users/phuongpham/Downloads/Tool/TÀI NGUYÊN EDIT/04. KHO NHẠC NỀN ĐÃ PHÂN LOẠI (7 THỂ LOẠI VIRAL TIKTOK)/06. Tin Giải Trí Trend &amp; Showbiz (23 Bài)/Pickleball [623496].mp3", "▶️ Bấm Nghe Thử")</f>
        <v/>
      </c>
      <c r="E93" s="52" t="inlineStr">
        <is>
          <t>Đỗ Phú Quí</t>
        </is>
      </c>
      <c r="F93" s="51" t="inlineStr">
        <is>
          <t>57s</t>
        </is>
      </c>
      <c r="G93" s="52" t="inlineStr">
        <is>
          <t>Tin sao showbiz, concert, sự kiện âm nhạc, trào lưu GenZ, thể thao</t>
        </is>
      </c>
      <c r="H93" s="55" t="inlineStr">
        <is>
          <t>Pickleball [623496].mp3</t>
        </is>
      </c>
      <c r="I93" s="56" t="inlineStr">
        <is>
          <t>--nhac "Pickleball"</t>
        </is>
      </c>
      <c r="J93" s="57">
        <f>HYPERLINK("https://www.tiktok.com/@mmusic.records/video/7437469517686623496", "🔗 Link TikTok")</f>
        <v/>
      </c>
    </row>
    <row r="94" ht="24" customHeight="1">
      <c r="A94" s="44" t="n">
        <v>91</v>
      </c>
      <c r="B94" s="45" t="inlineStr">
        <is>
          <t>Tin Giải Trí (Trend Showbiz)</t>
        </is>
      </c>
      <c r="C94" s="46" t="inlineStr">
        <is>
          <t>Sandwich Story</t>
        </is>
      </c>
      <c r="D94" s="47">
        <f>HYPERLINK("file:///Users/phuongpham/Downloads/Tool/TÀI NGUYÊN EDIT/04. KHO NHẠC NỀN ĐÃ PHÂN LOẠI (7 THỂ LOẠI VIRAL TIKTOK)/06. Tin Giải Trí Trend &amp; Showbiz (23 Bài)/Sandwich Story [743623].mp3", "▶️ Bấm Nghe Thử")</f>
        <v/>
      </c>
      <c r="E94" s="45" t="inlineStr">
        <is>
          <t>MONO, EmceeDan</t>
        </is>
      </c>
      <c r="F94" s="44" t="inlineStr">
        <is>
          <t>59s</t>
        </is>
      </c>
      <c r="G94" s="45" t="inlineStr">
        <is>
          <t>Tin sao showbiz, concert, sự kiện âm nhạc, trào lưu GenZ, thể thao</t>
        </is>
      </c>
      <c r="H94" s="48" t="inlineStr">
        <is>
          <t>Sandwich Story [743623].mp3</t>
        </is>
      </c>
      <c r="I94" s="49" t="inlineStr">
        <is>
          <t>--nhac "Sandwich Story"</t>
        </is>
      </c>
      <c r="J94" s="50">
        <f>HYPERLINK("https://www.tiktok.com/@mono.hng/video/7660754452105743623", "🔗 Link TikTok")</f>
        <v/>
      </c>
    </row>
    <row r="95" ht="24" customHeight="1">
      <c r="A95" s="51" t="n">
        <v>92</v>
      </c>
      <c r="B95" s="52" t="inlineStr">
        <is>
          <t>Tin Giải Trí (Trend Showbiz)</t>
        </is>
      </c>
      <c r="C95" s="53" t="inlineStr">
        <is>
          <t>Some (feat. Lil Boi)</t>
        </is>
      </c>
      <c r="D95" s="54">
        <f>HYPERLINK("file:///Users/phuongpham/Downloads/Tool/TÀI NGUYÊN EDIT/04. KHO NHẠC NỀN ĐÃ PHÂN LOẠI (7 THỂ LOẠI VIRAL TIKTOK)/06. Tin Giải Trí Trend &amp; Showbiz (23 Bài)/Some (feat. Lil Boi) [563478].mp3", "▶️ Bấm Nghe Thử")</f>
        <v/>
      </c>
      <c r="E95" s="52" t="inlineStr">
        <is>
          <t>Soyou, Junggigo</t>
        </is>
      </c>
      <c r="F95" s="51" t="inlineStr">
        <is>
          <t>19s</t>
        </is>
      </c>
      <c r="G95" s="52" t="inlineStr">
        <is>
          <t>Tin sao showbiz, concert, sự kiện âm nhạc, trào lưu GenZ, thể thao</t>
        </is>
      </c>
      <c r="H95" s="55" t="inlineStr">
        <is>
          <t>Some (feat. Lil Boi) [563478].mp3</t>
        </is>
      </c>
      <c r="I95" s="56" t="inlineStr">
        <is>
          <t>--nhac "Some (feat. Lil Boi)"</t>
        </is>
      </c>
      <c r="J95" s="57">
        <f>HYPERLINK("https://www.tiktok.com/@user.nexaa/video/7541396674384563478", "🔗 Link TikTok")</f>
        <v/>
      </c>
    </row>
    <row r="96" ht="24" customHeight="1">
      <c r="A96" s="44" t="n">
        <v>93</v>
      </c>
      <c r="B96" s="45" t="inlineStr">
        <is>
          <t>Tin Giải Trí (Trend Showbiz)</t>
        </is>
      </c>
      <c r="C96" s="46" t="inlineStr">
        <is>
          <t>The Playah (feat. SlimV) Special Performance</t>
        </is>
      </c>
      <c r="D96" s="47">
        <f>HYPERLINK("file:///Users/phuongpham/Downloads/Tool/TÀI NGUYÊN EDIT/04. KHO NHẠC NỀN ĐÃ PHÂN LOẠI (7 THỂ LOẠI VIRAL TIKTOK)/06. Tin Giải Trí Trend &amp; Showbiz (23 Bài)/The Playah (feat. SlimV) Special Performance [155336].mp3", "▶️ Bấm Nghe Thử")</f>
        <v/>
      </c>
      <c r="E96" s="45" t="inlineStr">
        <is>
          <t>Soobin Hoàng Sơn</t>
        </is>
      </c>
      <c r="F96" s="44" t="inlineStr">
        <is>
          <t>28s</t>
        </is>
      </c>
      <c r="G96" s="45" t="inlineStr">
        <is>
          <t>Tin sao showbiz, concert, sự kiện âm nhạc, trào lưu GenZ, thể thao</t>
        </is>
      </c>
      <c r="H96" s="48" t="inlineStr">
        <is>
          <t>The Playah (feat. SlimV) Special Performance [155336].mp3</t>
        </is>
      </c>
      <c r="I96" s="49" t="inlineStr">
        <is>
          <t>--nhac "The Playah (feat. SlimV) Special Performance"</t>
        </is>
      </c>
      <c r="J96" s="50">
        <f>HYPERLINK("https://www.tiktok.com/@ngothtu_/video/7462735637553155336", "🔗 Link TikTok")</f>
        <v/>
      </c>
    </row>
    <row r="97" ht="24" customHeight="1">
      <c r="A97" s="51" t="n">
        <v>94</v>
      </c>
      <c r="B97" s="52" t="inlineStr">
        <is>
          <t>Tin Giải Trí (Trend Showbiz)</t>
        </is>
      </c>
      <c r="C97" s="53" t="inlineStr">
        <is>
          <t>Share Intro Bang Bang Bang PPTX</t>
        </is>
      </c>
      <c r="D97" s="54">
        <f>HYPERLINK("file:///Users/phuongpham/Downloads/Tool/TÀI NGUYÊN EDIT/04. KHO NHẠC NỀN ĐÃ PHÂN LOẠI (7 THỂ LOẠI VIRAL TIKTOK)/06. Tin Giải Trí Trend &amp; Showbiz (23 Bài)/nhạc nền - Ayko [676370].mp3", "▶️ Bấm Nghe Thử")</f>
        <v/>
      </c>
      <c r="E97" s="52" t="inlineStr">
        <is>
          <t>Ayko</t>
        </is>
      </c>
      <c r="F97" s="51" t="inlineStr">
        <is>
          <t>43s</t>
        </is>
      </c>
      <c r="G97" s="52" t="inlineStr">
        <is>
          <t>Tin sao showbiz, concert, sự kiện âm nhạc, trào lưu GenZ, thể thao</t>
        </is>
      </c>
      <c r="H97" s="55" t="inlineStr">
        <is>
          <t>nhạc nền - Ayko [676370].mp3</t>
        </is>
      </c>
      <c r="I97" s="56" t="inlineStr">
        <is>
          <t>--nhac "Share Intro Bang Bang Bang PPTX"</t>
        </is>
      </c>
      <c r="J97" s="57">
        <f>HYPERLINK("https://www.tiktok.com/@hanazuzo/video/7486692513164676370", "🔗 Link TikTok")</f>
        <v/>
      </c>
    </row>
    <row r="98" ht="24" customHeight="1">
      <c r="A98" s="44" t="n">
        <v>95</v>
      </c>
      <c r="B98" s="45" t="inlineStr">
        <is>
          <t>Tin Giải Trí (Trend Showbiz)</t>
        </is>
      </c>
      <c r="C98" s="46" t="inlineStr">
        <is>
          <t>Soobin nhạc</t>
        </is>
      </c>
      <c r="D98" s="47">
        <f>HYPERLINK("file:///Users/phuongpham/Downloads/Tool/TÀI NGUYÊN EDIT/04. KHO NHẠC NỀN ĐÃ PHÂN LOẠI (7 THỂ LOẠI VIRAL TIKTOK)/06. Tin Giải Trí Trend &amp; Showbiz (23 Bài)/nhạc nền - Hyun [024981].mp3", "▶️ Bấm Nghe Thử")</f>
        <v/>
      </c>
      <c r="E98" s="45" t="inlineStr">
        <is>
          <t>Hyun 📸</t>
        </is>
      </c>
      <c r="F98" s="44" t="inlineStr">
        <is>
          <t>32s</t>
        </is>
      </c>
      <c r="G98" s="45" t="inlineStr">
        <is>
          <t>Tin sao showbiz, concert, sự kiện âm nhạc, trào lưu GenZ, thể thao</t>
        </is>
      </c>
      <c r="H98" s="48" t="inlineStr">
        <is>
          <t>nhạc nền - Hyun [024981].mp3</t>
        </is>
      </c>
      <c r="I98" s="49" t="inlineStr">
        <is>
          <t>--nhac "Soobin nhạc"</t>
        </is>
      </c>
      <c r="J98" s="50">
        <f>HYPERLINK("https://www.tiktok.com/@qnhiw_/video/7668363491518024981", "🔗 Link TikTok")</f>
        <v/>
      </c>
    </row>
    <row r="99" ht="24" customHeight="1">
      <c r="A99" s="51" t="n">
        <v>96</v>
      </c>
      <c r="B99" s="52" t="inlineStr">
        <is>
          <t>Tin Giải Trí (Trend Showbiz)</t>
        </is>
      </c>
      <c r="C99" s="53" t="inlineStr">
        <is>
          <t>DANCING IN THE DARK - SOOBIN</t>
        </is>
      </c>
      <c r="D99" s="54">
        <f>HYPERLINK("file:///Users/phuongpham/Downloads/Tool/TÀI NGUYÊN EDIT/04. KHO NHẠC NỀN ĐÃ PHÂN LOẠI (7 THỂ LOẠI VIRAL TIKTOK)/06. Tin Giải Trí Trend &amp; Showbiz (23 Bài)/nhạc nền - NGUYENHAO [469111].mp3", "▶️ Bấm Nghe Thử")</f>
        <v/>
      </c>
      <c r="E99" s="52" t="inlineStr">
        <is>
          <t>NGUYENHAO</t>
        </is>
      </c>
      <c r="F99" s="51" t="inlineStr">
        <is>
          <t>59s</t>
        </is>
      </c>
      <c r="G99" s="52" t="inlineStr">
        <is>
          <t>Tin sao showbiz, concert, sự kiện âm nhạc, trào lưu GenZ, thể thao</t>
        </is>
      </c>
      <c r="H99" s="55" t="inlineStr">
        <is>
          <t>nhạc nền - NGUYENHAO [469111].mp3</t>
        </is>
      </c>
      <c r="I99" s="56" t="inlineStr">
        <is>
          <t>--nhac "DANCING IN THE DARK - SOOBIN"</t>
        </is>
      </c>
      <c r="J99" s="57">
        <f>HYPERLINK("https://www.tiktok.com/@haonguyenchi242/video/7487469543355469111", "🔗 Link TikTok")</f>
        <v/>
      </c>
    </row>
    <row r="100" ht="24" customHeight="1">
      <c r="A100" s="44" t="n">
        <v>97</v>
      </c>
      <c r="B100" s="45" t="inlineStr">
        <is>
          <t>Tin Giải Trí (Trend Showbiz)</t>
        </is>
      </c>
      <c r="C100" s="46" t="inlineStr">
        <is>
          <t>Hazy Moon - Hatsune Miku - Lyric   Vietsub</t>
        </is>
      </c>
      <c r="D100" s="47">
        <f>HYPERLINK("file:///Users/phuongpham/Downloads/Tool/TÀI NGUYÊN EDIT/04. KHO NHẠC NỀN ĐÃ PHÂN LOẠI (7 THỂ LOẠI VIRAL TIKTOK)/06. Tin Giải Trí Trend &amp; Showbiz (23 Bài)/nhạc nền - Nhã mahiro cute [868743].mp3", "▶️ Bấm Nghe Thử")</f>
        <v/>
      </c>
      <c r="E100" s="45" t="inlineStr">
        <is>
          <t>Nhã mahiro cute</t>
        </is>
      </c>
      <c r="F100" s="44" t="inlineStr">
        <is>
          <t>250s</t>
        </is>
      </c>
      <c r="G100" s="45" t="inlineStr">
        <is>
          <t>Tin sao showbiz, concert, sự kiện âm nhạc, trào lưu GenZ, thể thao</t>
        </is>
      </c>
      <c r="H100" s="48" t="inlineStr">
        <is>
          <t>nhạc nền - Nhã mahiro cute [868743].mp3</t>
        </is>
      </c>
      <c r="I100" s="49" t="inlineStr">
        <is>
          <t>--nhac "Hazy Moon - Hatsune Miku - Lyric   Vietsub"</t>
        </is>
      </c>
      <c r="J100" s="50">
        <f>HYPERLINK("https://www.tiktok.com/@mahirooyamacute/video/7578327573566868743", "🔗 Link TikTok")</f>
        <v/>
      </c>
    </row>
    <row r="101" ht="24" customHeight="1">
      <c r="A101" s="51" t="n">
        <v>98</v>
      </c>
      <c r="B101" s="52" t="inlineStr">
        <is>
          <t>Tin Giải Trí (Trend Showbiz)</t>
        </is>
      </c>
      <c r="C101" s="53" t="inlineStr">
        <is>
          <t>Bài này vẫn hay vc</t>
        </is>
      </c>
      <c r="D101" s="54">
        <f>HYPERLINK("file:///Users/phuongpham/Downloads/Tool/TÀI NGUYÊN EDIT/04. KHO NHẠC NỀN ĐÃ PHÂN LOẠI (7 THỂ LOẠI VIRAL TIKTOK)/06. Tin Giải Trí Trend &amp; Showbiz (23 Bài)/nhạc nền - ＴＷＥＮ [891669].mp3", "▶️ Bấm Nghe Thử")</f>
        <v/>
      </c>
      <c r="E101" s="52" t="inlineStr">
        <is>
          <t>TWEN MUSIC</t>
        </is>
      </c>
      <c r="F101" s="51" t="inlineStr">
        <is>
          <t>16s</t>
        </is>
      </c>
      <c r="G101" s="52" t="inlineStr">
        <is>
          <t>Tin sao showbiz, concert, sự kiện âm nhạc, trào lưu GenZ, thể thao</t>
        </is>
      </c>
      <c r="H101" s="55" t="inlineStr">
        <is>
          <t>nhạc nền - ＴＷＥＮ [891669].mp3</t>
        </is>
      </c>
      <c r="I101" s="56" t="inlineStr">
        <is>
          <t>--nhac "Bài này vẫn hay vc"</t>
        </is>
      </c>
      <c r="J101" s="57">
        <f>HYPERLINK("https://www.tiktok.com/@_ihatetiktokk/video/7620251654536891669", "🔗 Link TikTok")</f>
        <v/>
      </c>
    </row>
    <row r="102" ht="24" customHeight="1">
      <c r="A102" s="44" t="n">
        <v>99</v>
      </c>
      <c r="B102" s="45" t="inlineStr">
        <is>
          <t>Tin Giải Trí (Trend Showbiz)</t>
        </is>
      </c>
      <c r="C102" s="46" t="inlineStr">
        <is>
          <t>Hãy Trao Cho Anh</t>
        </is>
      </c>
      <c r="D102" s="47">
        <f>HYPERLINK("file:///Users/phuongpham/Downloads/Tool/TÀI NGUYÊN EDIT/04. KHO NHẠC NỀN ĐÃ PHÂN LOẠI (7 THỂ LOẠI VIRAL TIKTOK)/06. Tin Giải Trí Trend &amp; Showbiz (23 Bài)/nhạc nền - 𝘽𝙤𝙢𝙗 [074706].mp3", "▶️ Bấm Nghe Thử")</f>
        <v/>
      </c>
      <c r="E102" s="45" t="inlineStr">
        <is>
          <t>ilry</t>
        </is>
      </c>
      <c r="F102" s="44" t="inlineStr">
        <is>
          <t>41s</t>
        </is>
      </c>
      <c r="G102" s="45" t="inlineStr">
        <is>
          <t>Tin sao showbiz, concert, sự kiện âm nhạc, trào lưu GenZ, thể thao</t>
        </is>
      </c>
      <c r="H102" s="48" t="inlineStr">
        <is>
          <t>nhạc nền - 𝘽𝙤𝙢𝙗 [074706].mp3</t>
        </is>
      </c>
      <c r="I102" s="49" t="inlineStr">
        <is>
          <t>--nhac "Hãy Trao Cho Anh"</t>
        </is>
      </c>
      <c r="J102" s="50">
        <f>HYPERLINK("https://www.tiktok.com/@tramwbear_63/video/7612364197565074706", "🔗 Link TikTok")</f>
        <v/>
      </c>
    </row>
    <row r="103" ht="24" customHeight="1">
      <c r="A103" s="51" t="n">
        <v>100</v>
      </c>
      <c r="B103" s="52" t="inlineStr">
        <is>
          <t>Tin Giải Trí (Trend Showbiz)</t>
        </is>
      </c>
      <c r="C103" s="53" t="inlineStr">
        <is>
          <t>lieu nhan gian may ai thuong nang</t>
        </is>
      </c>
      <c r="D103" s="54">
        <f>HYPERLINK("file:///Users/phuongpham/Downloads/Tool/TÀI NGUYÊN EDIT/04. KHO NHẠC NỀN ĐÃ PHÂN LOẠI (7 THỂ LOẠI VIRAL TIKTOK)/06. Tin Giải Trí Trend &amp; Showbiz (23 Bài)/original sound - vì a chim bé nên làm vk a nhé [241287].mp3", "▶️ Bấm Nghe Thử")</f>
        <v/>
      </c>
      <c r="E103" s="52" t="inlineStr">
        <is>
          <t>vizhsocute_</t>
        </is>
      </c>
      <c r="F103" s="51" t="inlineStr">
        <is>
          <t>12s</t>
        </is>
      </c>
      <c r="G103" s="52" t="inlineStr">
        <is>
          <t>Tin sao showbiz, concert, sự kiện âm nhạc, trào lưu GenZ, thể thao</t>
        </is>
      </c>
      <c r="H103" s="55" t="inlineStr">
        <is>
          <t>original sound - vì a chim bé nên làm vk a nhé [241287].mp3</t>
        </is>
      </c>
      <c r="I103" s="56" t="inlineStr">
        <is>
          <t>--nhac "lieu nhan gian may ai thuong nang"</t>
        </is>
      </c>
      <c r="J103" s="57">
        <f>HYPERLINK("https://www.tiktok.com/@vizhsocute_/video/7572082902570241287", "🔗 Link TikTok")</f>
        <v/>
      </c>
    </row>
    <row r="104" ht="24" customHeight="1">
      <c r="A104" s="44" t="n">
        <v>101</v>
      </c>
      <c r="B104" s="45" t="inlineStr">
        <is>
          <t>Tin Giải Trí (Trend Showbiz)</t>
        </is>
      </c>
      <c r="C104" s="46" t="inlineStr">
        <is>
          <t>The Red Sun is in the Sky  is a Chinese propaganda</t>
        </is>
      </c>
      <c r="D104" s="47">
        <f>HYPERLINK("file:///Users/phuongpham/Downloads/Tool/TÀI NGUYÊN EDIT/04. KHO NHẠC NỀN ĐÃ PHÂN LOẠI (7 THỂ LOẠI VIRAL TIKTOK)/06. Tin Giải Trí Trend &amp; Showbiz (23 Bài)/suara asli - Corps Aktry [111941].mp3", "▶️ Bấm Nghe Thử")</f>
        <v/>
      </c>
      <c r="E104" s="45" t="inlineStr">
        <is>
          <t>Corps Aktry</t>
        </is>
      </c>
      <c r="F104" s="44" t="inlineStr">
        <is>
          <t>33s</t>
        </is>
      </c>
      <c r="G104" s="45" t="inlineStr">
        <is>
          <t>Tin sao showbiz, concert, sự kiện âm nhạc, trào lưu GenZ, thể thao</t>
        </is>
      </c>
      <c r="H104" s="48" t="inlineStr">
        <is>
          <t>suara asli - Corps Aktry [111941].mp3</t>
        </is>
      </c>
      <c r="I104" s="49" t="inlineStr">
        <is>
          <t>--nhac "The Red Sun is in the Sky  is a Chinese propaganda"</t>
        </is>
      </c>
      <c r="J104" s="50">
        <f>HYPERLINK("https://www.tiktok.com/@corpsaktry/video/7478016349223111941", "🔗 Link TikTok")</f>
        <v/>
      </c>
    </row>
    <row r="105" ht="24" customHeight="1">
      <c r="A105" s="51" t="n">
        <v>102</v>
      </c>
      <c r="B105" s="52" t="inlineStr">
        <is>
          <t>Tin Giải Trí (Trend Showbiz)</t>
        </is>
      </c>
      <c r="C105" s="53" t="inlineStr">
        <is>
          <t>Quen Quen</t>
        </is>
      </c>
      <c r="D105" s="54">
        <f>HYPERLINK("file:///Users/phuongpham/Downloads/Tool/TÀI NGUYÊN EDIT/04. KHO NHẠC NỀN ĐÃ PHÂN LOẠI (7 THỂ LOẠI VIRAL TIKTOK)/06. Tin Giải Trí Trend &amp; Showbiz (23 Bài)/âm thanh gốc - DUZ ( Âm Nhạc ) [823380].mp3", "▶️ Bấm Nghe Thử")</f>
        <v/>
      </c>
      <c r="E105" s="52" t="inlineStr">
        <is>
          <t>ZUZ</t>
        </is>
      </c>
      <c r="F105" s="51" t="inlineStr">
        <is>
          <t>21s</t>
        </is>
      </c>
      <c r="G105" s="52" t="inlineStr">
        <is>
          <t>Tin sao showbiz, concert, sự kiện âm nhạc, trào lưu GenZ, thể thao</t>
        </is>
      </c>
      <c r="H105" s="55" t="inlineStr">
        <is>
          <t>âm thanh gốc - DUZ ( Âm Nhạc ) [823380].mp3</t>
        </is>
      </c>
      <c r="I105" s="56" t="inlineStr">
        <is>
          <t>--nhac "Quen Quen"</t>
        </is>
      </c>
      <c r="J105" s="57">
        <f>HYPERLINK("https://www.tiktok.com/@15092014haizzz/video/7686729297947823380", "🔗 Link TikTok")</f>
        <v/>
      </c>
    </row>
    <row r="106" ht="24" customHeight="1">
      <c r="A106" s="44" t="n">
        <v>103</v>
      </c>
      <c r="B106" s="45" t="inlineStr">
        <is>
          <t>Tin Giải Trí (Trend Showbiz)</t>
        </is>
      </c>
      <c r="C106" s="46" t="inlineStr">
        <is>
          <t>Cưới đi - 2t   changg</t>
        </is>
      </c>
      <c r="D106" s="47">
        <f>HYPERLINK("file:///Users/phuongpham/Downloads/Tool/TÀI NGUYÊN EDIT/04. KHO NHẠC NỀN ĐÃ PHÂN LOẠI (7 THỂ LOẠI VIRAL TIKTOK)/06. Tin Giải Trí Trend &amp; Showbiz (23 Bài)/âm thanh gốc - Lz [432085].mp3", "▶️ Bấm Nghe Thử")</f>
        <v/>
      </c>
      <c r="E106" s="45" t="inlineStr">
        <is>
          <t>Lz</t>
        </is>
      </c>
      <c r="F106" s="44" t="inlineStr">
        <is>
          <t>40s</t>
        </is>
      </c>
      <c r="G106" s="45" t="inlineStr">
        <is>
          <t>Tin sao showbiz, concert, sự kiện âm nhạc, trào lưu GenZ, thể thao</t>
        </is>
      </c>
      <c r="H106" s="48" t="inlineStr">
        <is>
          <t>âm thanh gốc - Lz [432085].mp3</t>
        </is>
      </c>
      <c r="I106" s="49" t="inlineStr">
        <is>
          <t>--nhac "Cưới đi - 2t   changg"</t>
        </is>
      </c>
      <c r="J106" s="50">
        <f>HYPERLINK("https://www.tiktok.com/@tr4it1mcunqbtda0/video/7679335471725432085", "🔗 Link TikTok")</f>
        <v/>
      </c>
    </row>
    <row r="107" ht="24" customHeight="1">
      <c r="A107" s="51" t="n">
        <v>104</v>
      </c>
      <c r="B107" s="52" t="inlineStr">
        <is>
          <t>Tin Giải Trí (Trend Showbiz)</t>
        </is>
      </c>
      <c r="C107" s="53" t="inlineStr">
        <is>
          <t>Sao anh chưa về nhà - amee ft. Ricky star</t>
        </is>
      </c>
      <c r="D107" s="54">
        <f>HYPERLINK("file:///Users/phuongpham/Downloads/Tool/TÀI NGUYÊN EDIT/04. KHO NHẠC NỀN ĐÃ PHÂN LOẠI (7 THỂ LOẠI VIRAL TIKTOK)/06. Tin Giải Trí Trend &amp; Showbiz (23 Bài)/âm thanh gốc - Lz [601364].mp3", "▶️ Bấm Nghe Thử")</f>
        <v/>
      </c>
      <c r="E107" s="52" t="inlineStr">
        <is>
          <t>Lz</t>
        </is>
      </c>
      <c r="F107" s="51" t="inlineStr">
        <is>
          <t>23s</t>
        </is>
      </c>
      <c r="G107" s="52" t="inlineStr">
        <is>
          <t>Tin sao showbiz, concert, sự kiện âm nhạc, trào lưu GenZ, thể thao</t>
        </is>
      </c>
      <c r="H107" s="55" t="inlineStr">
        <is>
          <t>âm thanh gốc - Lz [601364].mp3</t>
        </is>
      </c>
      <c r="I107" s="56" t="inlineStr">
        <is>
          <t>--nhac "Sao anh chưa về nhà - amee ft. Ricky star"</t>
        </is>
      </c>
      <c r="J107" s="57">
        <f>HYPERLINK("https://www.tiktok.com/@tr4it1mcunqbtda0/video/7687516457600601364", "🔗 Link TikTok")</f>
        <v/>
      </c>
    </row>
    <row r="108" ht="24" customHeight="1">
      <c r="A108" s="44" t="n">
        <v>105</v>
      </c>
      <c r="B108" s="45" t="inlineStr">
        <is>
          <t>Tin Giải Trí (Trend Showbiz)</t>
        </is>
      </c>
      <c r="C108" s="46" t="inlineStr">
        <is>
          <t>Nhạc Sơn Tùng   Muộn rồi</t>
        </is>
      </c>
      <c r="D108" s="47">
        <f>HYPERLINK("file:///Users/phuongpham/Downloads/Tool/TÀI NGUYÊN EDIT/04. KHO NHẠC NỀN ĐÃ PHÂN LOẠI (7 THỂ LOẠI VIRAL TIKTOK)/06. Tin Giải Trí Trend &amp; Showbiz (23 Bài)/âm thanh gốc - Sin [850772].mp3", "▶️ Bấm Nghe Thử")</f>
        <v/>
      </c>
      <c r="E108" s="45" t="inlineStr">
        <is>
          <t>Sin</t>
        </is>
      </c>
      <c r="F108" s="44" t="inlineStr">
        <is>
          <t>22s</t>
        </is>
      </c>
      <c r="G108" s="45" t="inlineStr">
        <is>
          <t>Tin sao showbiz, concert, sự kiện âm nhạc, trào lưu GenZ, thể thao</t>
        </is>
      </c>
      <c r="H108" s="48" t="inlineStr">
        <is>
          <t>âm thanh gốc - Sin [850772].mp3</t>
        </is>
      </c>
      <c r="I108" s="49" t="inlineStr">
        <is>
          <t>--nhac "Nhạc Sơn Tùng   Muộn rồi"</t>
        </is>
      </c>
      <c r="J108" s="50">
        <f>HYPERLINK("https://www.tiktok.com/@sin._0o234/video/7607498699215850772", "🔗 Link TikTok")</f>
        <v/>
      </c>
    </row>
    <row r="109" ht="24" customHeight="1">
      <c r="A109" s="51" t="n">
        <v>106</v>
      </c>
      <c r="B109" s="52" t="inlineStr">
        <is>
          <t>Tin Giải Trí (Trend Showbiz)</t>
        </is>
      </c>
      <c r="C109" s="53" t="inlineStr">
        <is>
          <t>Đừng Làm Trái Tim Anh Đau</t>
        </is>
      </c>
      <c r="D109" s="54">
        <f>HYPERLINK("file:///Users/phuongpham/Downloads/Tool/TÀI NGUYÊN EDIT/04. KHO NHẠC NỀN ĐÃ PHÂN LOẠI (7 THỂ LOẠI VIRAL TIKTOK)/06. Tin Giải Trí Trend &amp; Showbiz (23 Bài)/Đừng Làm Trái Tim Anh Đau [969040].mp3", "▶️ Bấm Nghe Thử")</f>
        <v/>
      </c>
      <c r="E109" s="52" t="inlineStr">
        <is>
          <t>Sơn Tùng M-TP</t>
        </is>
      </c>
      <c r="F109" s="51" t="inlineStr">
        <is>
          <t>59s</t>
        </is>
      </c>
      <c r="G109" s="52" t="inlineStr">
        <is>
          <t>Tin sao showbiz, concert, sự kiện âm nhạc, trào lưu GenZ, thể thao</t>
        </is>
      </c>
      <c r="H109" s="55" t="inlineStr">
        <is>
          <t>Đừng Làm Trái Tim Anh Đau [969040].mp3</t>
        </is>
      </c>
      <c r="I109" s="56" t="inlineStr">
        <is>
          <t>--nhac "Đừng Làm Trái Tim Anh Đau"</t>
        </is>
      </c>
      <c r="J109" s="57">
        <f>HYPERLINK("https://www.tiktok.com/@nhacnaychillphet/video/7378124836695969040", "🔗 Link TikTok")</f>
        <v/>
      </c>
    </row>
    <row r="110" ht="24" customHeight="1">
      <c r="A110" s="44" t="n">
        <v>107</v>
      </c>
      <c r="B110" s="45" t="inlineStr">
        <is>
          <t>Tin Giải Trí (Trend Showbiz)</t>
        </is>
      </c>
      <c r="C110" s="46" t="inlineStr">
        <is>
          <t>Nhạc Hàn này cuốn lắm nha mn ơi   Haru Haru Remix</t>
        </is>
      </c>
      <c r="D110" s="47">
        <f>HYPERLINK("file:///Users/phuongpham/Downloads/Tool/TÀI NGUYÊN EDIT/04. KHO NHẠC NỀN ĐÃ PHÂN LOẠI (7 THỂ LOẠI VIRAL TIKTOK)/06. Tin Giải Trí Trend &amp; Showbiz (23 Bài)/오리지널 사운드 - 떰프₄₅₆ [612038].mp3", "▶️ Bấm Nghe Thử")</f>
        <v/>
      </c>
      <c r="E110" s="45" t="inlineStr">
        <is>
          <t>떰프</t>
        </is>
      </c>
      <c r="F110" s="44" t="inlineStr">
        <is>
          <t>18s</t>
        </is>
      </c>
      <c r="G110" s="45" t="inlineStr">
        <is>
          <t>Tin sao showbiz, concert, sự kiện âm nhạc, trào lưu GenZ, thể thao</t>
        </is>
      </c>
      <c r="H110" s="48" t="inlineStr">
        <is>
          <t>오리지널 사운드 - 떰프₄₅₆ [612038].mp3</t>
        </is>
      </c>
      <c r="I110" s="49" t="inlineStr">
        <is>
          <t>--nhac "Nhạc Hàn này cuốn lắm nha mn ơi   Haru Haru Remix"</t>
        </is>
      </c>
      <c r="J110" s="50">
        <f>HYPERLINK("https://www.tiktok.com/@beatcuon/video/7691860745809612038", "🔗 Link TikTok")</f>
        <v/>
      </c>
    </row>
    <row r="111" ht="24" customHeight="1">
      <c r="A111" s="51" t="n">
        <v>108</v>
      </c>
      <c r="B111" s="52" t="inlineStr">
        <is>
          <t>Nhạc Tình Yêu &amp; Thanh Xuân</t>
        </is>
      </c>
      <c r="C111" s="53" t="inlineStr">
        <is>
          <t>Có Hẹn Với Thanh Xuân</t>
        </is>
      </c>
      <c r="D111" s="54">
        <f>HYPERLINK("file:///Users/phuongpham/Downloads/Tool/TÀI NGUYÊN EDIT/04. KHO NHẠC NỀN ĐÃ PHÂN LOẠI (7 THỂ LOẠI VIRAL TIKTOK)/07. Nhạc Tình Yêu &amp; Thanh Xuân (12 Bài)/Có Hẹn Với Thanh Xuân - MONSTAR.mp3", "▶️ Bấm Nghe Thử")</f>
        <v/>
      </c>
      <c r="E111" s="52" t="inlineStr">
        <is>
          <t>MONSTAR</t>
        </is>
      </c>
      <c r="F111" s="51" t="inlineStr">
        <is>
          <t>268s</t>
        </is>
      </c>
      <c r="G111" s="52" t="inlineStr">
        <is>
          <t>Video tình yêu giới trẻ, đám cưới, khoảnh khắc thanh xuân ngọt ngào</t>
        </is>
      </c>
      <c r="H111" s="55" t="inlineStr">
        <is>
          <t>Có Hẹn Với Thanh Xuân - MONSTAR.mp3</t>
        </is>
      </c>
      <c r="I111" s="56" t="inlineStr">
        <is>
          <t>--nhac "Có Hẹn Với Thanh Xuân"</t>
        </is>
      </c>
      <c r="J111" s="57">
        <f>HYPERLINK("https://www.youtube.com/watch?v=vpRi8S6uXAg", "🔗 Link TikTok")</f>
        <v/>
      </c>
    </row>
    <row r="112" ht="24" customHeight="1">
      <c r="A112" s="44" t="n">
        <v>109</v>
      </c>
      <c r="B112" s="45" t="inlineStr">
        <is>
          <t>Nhạc Tình Yêu &amp; Thanh Xuân</t>
        </is>
      </c>
      <c r="C112" s="46" t="inlineStr">
        <is>
          <t>Somebody's Pleasure - Aziz Hedra</t>
        </is>
      </c>
      <c r="D112" s="47">
        <f>HYPERLINK("file:///Users/phuongpham/Downloads/Tool/TÀI NGUYÊN EDIT/04. KHO NHẠC NỀN ĐÃ PHÂN LOẠI (7 THỂ LOẠI VIRAL TIKTOK)/07. Nhạc Tình Yêu &amp; Thanh Xuân (12 Bài)/Somebody's Pleasure - Aziz Hedra [820501].mp3", "▶️ Bấm Nghe Thử")</f>
        <v/>
      </c>
      <c r="E112" s="45" t="inlineStr">
        <is>
          <t>astrooo🪐</t>
        </is>
      </c>
      <c r="F112" s="44" t="inlineStr">
        <is>
          <t>28s</t>
        </is>
      </c>
      <c r="G112" s="45" t="inlineStr">
        <is>
          <t>Video tình yêu giới trẻ, đám cưới, khoảnh khắc thanh xuân ngọt ngào</t>
        </is>
      </c>
      <c r="H112" s="48" t="inlineStr">
        <is>
          <t>Somebody's Pleasure - Aziz Hedra [820501].mp3</t>
        </is>
      </c>
      <c r="I112" s="49" t="inlineStr">
        <is>
          <t>--nhac "Somebody's Pleasure - Aziz Hedra"</t>
        </is>
      </c>
      <c r="J112" s="50">
        <f>HYPERLINK("https://www.tiktok.com/@hadzz_spedxs/video/7693068731936820501", "🔗 Link TikTok")</f>
        <v/>
      </c>
    </row>
    <row r="113" ht="24" customHeight="1">
      <c r="A113" s="51" t="n">
        <v>110</v>
      </c>
      <c r="B113" s="52" t="inlineStr">
        <is>
          <t>Nhạc Tình Yêu &amp; Thanh Xuân</t>
        </is>
      </c>
      <c r="C113" s="53" t="inlineStr">
        <is>
          <t>a Rose</t>
        </is>
      </c>
      <c r="D113" s="54">
        <f>HYPERLINK("file:///Users/phuongpham/Downloads/Tool/TÀI NGUYÊN EDIT/04. KHO NHẠC NỀN ĐÃ PHÂN LOẠI (7 THỂ LOẠI VIRAL TIKTOK)/07. Nhạc Tình Yêu &amp; Thanh Xuân (12 Bài)/nhạc nền - Hà Anh Tuấn Friends [308370].mp3", "▶️ Bấm Nghe Thử")</f>
        <v/>
      </c>
      <c r="E113" s="52" t="inlineStr">
        <is>
          <t>Hà Anh Tuấn | Friends</t>
        </is>
      </c>
      <c r="F113" s="51" t="inlineStr">
        <is>
          <t>59s</t>
        </is>
      </c>
      <c r="G113" s="52" t="inlineStr">
        <is>
          <t>Video tình yêu giới trẻ, đám cưới, khoảnh khắc thanh xuân ngọt ngào</t>
        </is>
      </c>
      <c r="H113" s="55" t="inlineStr">
        <is>
          <t>nhạc nền - Hà Anh Tuấn Friends [308370].mp3</t>
        </is>
      </c>
      <c r="I113" s="56" t="inlineStr">
        <is>
          <t>--nhac "a Rose"</t>
        </is>
      </c>
      <c r="J113" s="57">
        <f>HYPERLINK("https://www.tiktok.com/@salt.mixer/video/7486799550930308370", "🔗 Link TikTok")</f>
        <v/>
      </c>
    </row>
    <row r="114" ht="24" customHeight="1">
      <c r="A114" s="44" t="n">
        <v>111</v>
      </c>
      <c r="B114" s="45" t="inlineStr">
        <is>
          <t>Nhạc Tình Yêu &amp; Thanh Xuân</t>
        </is>
      </c>
      <c r="C114" s="46" t="inlineStr">
        <is>
          <t>Từ ngày em đến ánh nắng ấy đã xua tan màn đêm nơi</t>
        </is>
      </c>
      <c r="D114" s="47">
        <f>HYPERLINK("file:///Users/phuongpham/Downloads/Tool/TÀI NGUYÊN EDIT/04. KHO NHẠC NỀN ĐÃ PHÂN LOẠI (7 THỂ LOẠI VIRAL TIKTOK)/07. Nhạc Tình Yêu &amp; Thanh Xuân (12 Bài)/nhạc nền - Tô Hoà 81 [699349].mp3", "▶️ Bấm Nghe Thử")</f>
        <v/>
      </c>
      <c r="E114" s="45" t="inlineStr">
        <is>
          <t>Tô Hoà 81</t>
        </is>
      </c>
      <c r="F114" s="44" t="inlineStr">
        <is>
          <t>39s</t>
        </is>
      </c>
      <c r="G114" s="45" t="inlineStr">
        <is>
          <t>Video tình yêu giới trẻ, đám cưới, khoảnh khắc thanh xuân ngọt ngào</t>
        </is>
      </c>
      <c r="H114" s="48" t="inlineStr">
        <is>
          <t>nhạc nền - Tô Hoà 81 [699349].mp3</t>
        </is>
      </c>
      <c r="I114" s="49" t="inlineStr">
        <is>
          <t>--nhac "Từ ngày em đến ánh nắng ấy đã xua tan màn đêm nơi"</t>
        </is>
      </c>
      <c r="J114" s="50">
        <f>HYPERLINK("https://www.tiktok.com/@tramnoinho_lyrics/video/7647194327453699349", "🔗 Link TikTok")</f>
        <v/>
      </c>
    </row>
    <row r="115" ht="24" customHeight="1">
      <c r="A115" s="51" t="n">
        <v>112</v>
      </c>
      <c r="B115" s="52" t="inlineStr">
        <is>
          <t>Nhạc Tình Yêu &amp; Thanh Xuân</t>
        </is>
      </c>
      <c r="C115" s="53" t="inlineStr">
        <is>
          <t>Đã Lỡ Yêu Em Nhiều   JustTee</t>
        </is>
      </c>
      <c r="D115" s="54">
        <f>HYPERLINK("file:///Users/phuongpham/Downloads/Tool/TÀI NGUYÊN EDIT/04. KHO NHẠC NỀN ĐÃ PHÂN LOẠI (7 THỂ LOẠI VIRAL TIKTOK)/07. Nhạc Tình Yêu &amp; Thanh Xuân (12 Bài)/nhạc nền - x.hieu [211028].mp3", "▶️ Bấm Nghe Thử")</f>
        <v/>
      </c>
      <c r="E115" s="52" t="inlineStr">
        <is>
          <t>Nhà của Dzun</t>
        </is>
      </c>
      <c r="F115" s="51" t="inlineStr">
        <is>
          <t>49s</t>
        </is>
      </c>
      <c r="G115" s="52" t="inlineStr">
        <is>
          <t>Video tình yêu giới trẻ, đám cưới, khoảnh khắc thanh xuân ngọt ngào</t>
        </is>
      </c>
      <c r="H115" s="55" t="inlineStr">
        <is>
          <t>nhạc nền - x.hieu [211028].mp3</t>
        </is>
      </c>
      <c r="I115" s="56" t="inlineStr">
        <is>
          <t>--nhac "Đã Lỡ Yêu Em Nhiều   JustTee"</t>
        </is>
      </c>
      <c r="J115" s="57">
        <f>HYPERLINK("https://www.tiktok.com/@22h.nghenhac/video/7633458726011211028", "🔗 Link TikTok")</f>
        <v/>
      </c>
    </row>
    <row r="116" ht="24" customHeight="1">
      <c r="A116" s="44" t="n">
        <v>113</v>
      </c>
      <c r="B116" s="45" t="inlineStr">
        <is>
          <t>Nhạc Tình Yêu &amp; Thanh Xuân</t>
        </is>
      </c>
      <c r="C116" s="46" t="inlineStr">
        <is>
          <t>Đưa Nhau Đi Trốn - Đen Vâu   ...</t>
        </is>
      </c>
      <c r="D116" s="47">
        <f>HYPERLINK("file:///Users/phuongpham/Downloads/Tool/TÀI NGUYÊN EDIT/04. KHO NHẠC NỀN ĐÃ PHÂN LOẠI (7 THỂ LOẠI VIRAL TIKTOK)/07. Nhạc Tình Yêu &amp; Thanh Xuân (12 Bài)/nhạc nền - Đà Lạt [728392].mp3", "▶️ Bấm Nghe Thử")</f>
        <v/>
      </c>
      <c r="E116" s="45" t="inlineStr">
        <is>
          <t>Đà Lạt +</t>
        </is>
      </c>
      <c r="F116" s="44" t="inlineStr">
        <is>
          <t>44s</t>
        </is>
      </c>
      <c r="G116" s="45" t="inlineStr">
        <is>
          <t>Video tình yêu giới trẻ, đám cưới, khoảnh khắc thanh xuân ngọt ngào</t>
        </is>
      </c>
      <c r="H116" s="48" t="inlineStr">
        <is>
          <t>nhạc nền - Đà Lạt [728392].mp3</t>
        </is>
      </c>
      <c r="I116" s="49" t="inlineStr">
        <is>
          <t>--nhac "Đưa Nhau Đi Trốn - Đen Vâu   ..."</t>
        </is>
      </c>
      <c r="J116" s="50">
        <f>HYPERLINK("https://www.tiktok.com/@capcut_huutuyen77/video/7337937627271728392", "🔗 Link TikTok")</f>
        <v/>
      </c>
    </row>
    <row r="117" ht="24" customHeight="1">
      <c r="A117" s="51" t="n">
        <v>114</v>
      </c>
      <c r="B117" s="52" t="inlineStr">
        <is>
          <t>Nhạc Tình Yêu &amp; Thanh Xuân</t>
        </is>
      </c>
      <c r="C117" s="53" t="inlineStr">
        <is>
          <t>Đi cùng anh từ khi bình minh vừa lên..</t>
        </is>
      </c>
      <c r="D117" s="54">
        <f>HYPERLINK("file:///Users/phuongpham/Downloads/Tool/TÀI NGUYÊN EDIT/04. KHO NHẠC NỀN ĐÃ PHÂN LOẠI (7 THỂ LOẠI VIRAL TIKTOK)/07. Nhạc Tình Yêu &amp; Thanh Xuân (12 Bài)/nhạc nền - 𝟮𝟴𝘁𝗵𝟳 [896392].mp3", "▶️ Bấm Nghe Thử")</f>
        <v/>
      </c>
      <c r="E117" s="52" t="inlineStr">
        <is>
          <t>28th7</t>
        </is>
      </c>
      <c r="F117" s="51" t="inlineStr">
        <is>
          <t>26s</t>
        </is>
      </c>
      <c r="G117" s="52" t="inlineStr">
        <is>
          <t>Video tình yêu giới trẻ, đám cưới, khoảnh khắc thanh xuân ngọt ngào</t>
        </is>
      </c>
      <c r="H117" s="55" t="inlineStr">
        <is>
          <t>nhạc nền - 𝟮𝟴𝘁𝗵𝟳 [896392].mp3</t>
        </is>
      </c>
      <c r="I117" s="56" t="inlineStr">
        <is>
          <t>--nhac "Đi cùng anh từ khi bình minh vừa lên.."</t>
        </is>
      </c>
      <c r="J117" s="57">
        <f>HYPERLINK("https://www.tiktok.com/@onlypassionmusic/video/7356917907214896392", "🔗 Link TikTok")</f>
        <v/>
      </c>
    </row>
    <row r="118" ht="24" customHeight="1">
      <c r="A118" s="44" t="n">
        <v>115</v>
      </c>
      <c r="B118" s="45" t="inlineStr">
        <is>
          <t>Nhạc Tình Yêu &amp; Thanh Xuân</t>
        </is>
      </c>
      <c r="C118" s="46" t="inlineStr">
        <is>
          <t>Thằng điên outro</t>
        </is>
      </c>
      <c r="D118" s="47">
        <f>HYPERLINK("file:///Users/phuongpham/Downloads/Tool/TÀI NGUYÊN EDIT/04. KHO NHẠC NỀN ĐÃ PHÂN LOẠI (7 THỂ LOẠI VIRAL TIKTOK)/07. Nhạc Tình Yêu &amp; Thanh Xuân (12 Bài)/original sound - Music Vi Vu [707093].mp3", "▶️ Bấm Nghe Thử")</f>
        <v/>
      </c>
      <c r="E118" s="45" t="inlineStr">
        <is>
          <t>Múic Vi Vu</t>
        </is>
      </c>
      <c r="F118" s="44" t="inlineStr">
        <is>
          <t>37s</t>
        </is>
      </c>
      <c r="G118" s="45" t="inlineStr">
        <is>
          <t>Video tình yêu giới trẻ, đám cưới, khoảnh khắc thanh xuân ngọt ngào</t>
        </is>
      </c>
      <c r="H118" s="48" t="inlineStr">
        <is>
          <t>original sound - Music Vi Vu [707093].mp3</t>
        </is>
      </c>
      <c r="I118" s="49" t="inlineStr">
        <is>
          <t>--nhac "Thằng điên outro"</t>
        </is>
      </c>
      <c r="J118" s="50">
        <f>HYPERLINK("https://www.tiktok.com/@quan.bac.tu.halen/video/7577998341292707093", "🔗 Link TikTok")</f>
        <v/>
      </c>
    </row>
    <row r="119" ht="24" customHeight="1">
      <c r="A119" s="51" t="n">
        <v>116</v>
      </c>
      <c r="B119" s="52" t="inlineStr">
        <is>
          <t>Nhạc Tình Yêu &amp; Thanh Xuân</t>
        </is>
      </c>
      <c r="C119" s="53" t="inlineStr">
        <is>
          <t>Em giờ đã có bầu trời mới       ...</t>
        </is>
      </c>
      <c r="D119" s="54">
        <f>HYPERLINK("file:///Users/phuongpham/Downloads/Tool/TÀI NGUYÊN EDIT/04. KHO NHẠC NỀN ĐÃ PHÂN LOẠI (7 THỂ LOẠI VIRAL TIKTOK)/07. Nhạc Tình Yêu &amp; Thanh Xuân (12 Bài)/original sound - đang giảm cân đừng hỏi [469960].mp3", "▶️ Bấm Nghe Thử")</f>
        <v/>
      </c>
      <c r="E119" s="52" t="inlineStr">
        <is>
          <t>embenhatdzi</t>
        </is>
      </c>
      <c r="F119" s="51" t="inlineStr">
        <is>
          <t>28s</t>
        </is>
      </c>
      <c r="G119" s="52" t="inlineStr">
        <is>
          <t>Video tình yêu giới trẻ, đám cưới, khoảnh khắc thanh xuân ngọt ngào</t>
        </is>
      </c>
      <c r="H119" s="55" t="inlineStr">
        <is>
          <t>original sound - đang giảm cân đừng hỏi [469960].mp3</t>
        </is>
      </c>
      <c r="I119" s="56" t="inlineStr">
        <is>
          <t>--nhac "Em giờ đã có bầu trời mới       ..."</t>
        </is>
      </c>
      <c r="J119" s="57">
        <f>HYPERLINK("https://www.tiktok.com/@delwynaa/video/7422682890141469960", "🔗 Link TikTok")</f>
        <v/>
      </c>
    </row>
    <row r="120" ht="24" customHeight="1">
      <c r="A120" s="44" t="n">
        <v>117</v>
      </c>
      <c r="B120" s="45" t="inlineStr">
        <is>
          <t>Nhạc Tình Yêu &amp; Thanh Xuân</t>
        </is>
      </c>
      <c r="C120" s="46" t="inlineStr">
        <is>
          <t>14 năm rồi  cây cầu  của JustaTee vẫn đỉnh   ...</t>
        </is>
      </c>
      <c r="D120" s="47">
        <f>HYPERLINK("file:///Users/phuongpham/Downloads/Tool/TÀI NGUYÊN EDIT/04. KHO NHẠC NỀN ĐÃ PHÂN LOẠI (7 THỂ LOẠI VIRAL TIKTOK)/07. Nhạc Tình Yêu &amp; Thanh Xuân (12 Bài)/âm thanh gốc - Cái Page Nhạc Rap [477716].mp3", "▶️ Bấm Nghe Thử")</f>
        <v/>
      </c>
      <c r="E120" s="45" t="inlineStr">
        <is>
          <t>Cái Page Nhạc Rap 🎶</t>
        </is>
      </c>
      <c r="F120" s="44" t="inlineStr">
        <is>
          <t>30s</t>
        </is>
      </c>
      <c r="G120" s="45" t="inlineStr">
        <is>
          <t>Video tình yêu giới trẻ, đám cưới, khoảnh khắc thanh xuân ngọt ngào</t>
        </is>
      </c>
      <c r="H120" s="48" t="inlineStr">
        <is>
          <t>âm thanh gốc - Cái Page Nhạc Rap [477716].mp3</t>
        </is>
      </c>
      <c r="I120" s="49" t="inlineStr">
        <is>
          <t>--nhac "14 năm rồi  cây cầu  của JustaTee vẫn đỉnh   ..."</t>
        </is>
      </c>
      <c r="J120" s="50">
        <f>HYPERLINK("https://www.tiktok.com/@caipagenhacrap/video/7643396148140477716", "🔗 Link TikTok")</f>
        <v/>
      </c>
    </row>
    <row r="121" ht="24" customHeight="1">
      <c r="A121" s="51" t="n">
        <v>118</v>
      </c>
      <c r="B121" s="52" t="inlineStr">
        <is>
          <t>Nhạc Tình Yêu &amp; Thanh Xuân</t>
        </is>
      </c>
      <c r="C121" s="53" t="inlineStr">
        <is>
          <t>Sinh ra đã là thứ đối lập nhau...</t>
        </is>
      </c>
      <c r="D121" s="54">
        <f>HYPERLINK("file:///Users/phuongpham/Downloads/Tool/TÀI NGUYÊN EDIT/04. KHO NHẠC NỀN ĐÃ PHÂN LOẠI (7 THỂ LOẠI VIRAL TIKTOK)/07. Nhạc Tình Yêu &amp; Thanh Xuân (12 Bài)/âm thanh gốc - Feeling Soundz [787796].mp3", "▶️ Bấm Nghe Thử")</f>
        <v/>
      </c>
      <c r="E121" s="52" t="inlineStr">
        <is>
          <t>Feeling Soundzz</t>
        </is>
      </c>
      <c r="F121" s="51" t="inlineStr">
        <is>
          <t>29s</t>
        </is>
      </c>
      <c r="G121" s="52" t="inlineStr">
        <is>
          <t>Video tình yêu giới trẻ, đám cưới, khoảnh khắc thanh xuân ngọt ngào</t>
        </is>
      </c>
      <c r="H121" s="55" t="inlineStr">
        <is>
          <t>âm thanh gốc - Feeling Soundz [787796].mp3</t>
        </is>
      </c>
      <c r="I121" s="56" t="inlineStr">
        <is>
          <t>--nhac "Sinh ra đã là thứ đối lập nhau..."</t>
        </is>
      </c>
      <c r="J121" s="57">
        <f>HYPERLINK("https://www.tiktok.com/@onlypassionmusic/video/7677225284583787796", "🔗 Link TikTok")</f>
        <v/>
      </c>
    </row>
    <row r="122" ht="24" customHeight="1">
      <c r="A122" s="44" t="n">
        <v>119</v>
      </c>
      <c r="B122" s="45" t="inlineStr">
        <is>
          <t>Nhạc Tình Yêu &amp; Thanh Xuân</t>
        </is>
      </c>
      <c r="C122" s="46" t="inlineStr">
        <is>
          <t>Cái bài hát gì mà nó yêu đời dữ</t>
        </is>
      </c>
      <c r="D122" s="47">
        <f>HYPERLINK("file:///Users/phuongpham/Downloads/Tool/TÀI NGUYÊN EDIT/04. KHO NHẠC NỀN ĐÃ PHÂN LOẠI (7 THỂ LOẠI VIRAL TIKTOK)/07. Nhạc Tình Yêu &amp; Thanh Xuân (12 Bài)/âm thanh gốc - camenuong [552084].mp3", "▶️ Bấm Nghe Thử")</f>
        <v/>
      </c>
      <c r="E122" s="45" t="inlineStr">
        <is>
          <t>camenuong</t>
        </is>
      </c>
      <c r="F122" s="44" t="inlineStr">
        <is>
          <t>18s</t>
        </is>
      </c>
      <c r="G122" s="45" t="inlineStr">
        <is>
          <t>Video tình yêu giới trẻ, đám cưới, khoảnh khắc thanh xuân ngọt ngào</t>
        </is>
      </c>
      <c r="H122" s="48" t="inlineStr">
        <is>
          <t>âm thanh gốc - camenuong [552084].mp3</t>
        </is>
      </c>
      <c r="I122" s="49" t="inlineStr">
        <is>
          <t>--nhac "Cái bài hát gì mà nó yêu đời dữ"</t>
        </is>
      </c>
      <c r="J122" s="50">
        <f>HYPERLINK("https://www.tiktok.com/@anhdanau29/video/7671838636018552084", "🔗 Link TikTok")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2026-10-08T11:28:20Z</dcterms:created>
  <dcterms:modified xmlns:dcterms="http://purl.org/dc/terms/" xmlns:xsi="http://www.w3.org/2001/XMLSchema-instance" xsi:type="dcterms:W3CDTF">2026-10-08T16:01:37Z</dcterms:modified>
</cp:coreProperties>
</file>